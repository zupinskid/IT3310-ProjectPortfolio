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aeab51b4d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d97a3a2e3bd473e"/>
    <x:sheet xmlns:r="http://schemas.openxmlformats.org/officeDocument/2006/relationships" name="Project Schedule" sheetId="2" r:id="Rda80362408de405f"/>
    <x:sheet xmlns:r="http://schemas.openxmlformats.org/officeDocument/2006/relationships" name="A-D Practice Bridge" sheetId="3" r:id="R72c7338b5789422b"/>
    <x:sheet xmlns:r="http://schemas.openxmlformats.org/officeDocument/2006/relationships" name="Gantt View" sheetId="4" r:id="R25f35f700e494b45"/>
  </x:sheets>
</x:workbook>
</file>

<file path=xl/sharedStrings.xml><?xml version="1.0" encoding="utf-8"?>
<x:sst xmlns:x="http://schemas.openxmlformats.org/spreadsheetml/2006/main">
  <x:si>
    <x:t xml:space="preserve">IT 3310  ·  Week 8 Project Schedule Template  ·  Supporting Excel Artifact</x:t>
  </x:si>
  <x:si>
    <x:t xml:space="preserve">NovaTech Consulting  ·  RCHN Intake &amp; Scheduling System Replacement</x:t>
  </x:si>
  <x:si>
    <x:t xml:space="preserve">HOW TO USE THIS TEMPLATE</x:t>
  </x:si>
  <x:si>
    <x:t xml:space="preserve">This workbook has two sheets: Instructions (this page) and Project Schedule (your work).</x:t>
  </x:si>
  <x:si>
    <x:t xml:space="preserve">Use this workbook to expand your RCHN project schedule. The five-phase sample is illustrative; your interactive assignment uses four WBS groupings and a separate four-activity exercise.</x:t>
  </x:si>
  <x:si>
    <x:t xml:space="preserve">Keep the provided column headers, dropdowns, conditional formatting, and formulas. Do not type in formula-driven cells.</x:t>
  </x:si>
  <x:si>
    <x:t xml:space="preserve">Save your completed workbook as an Excel file (.xlsx) and include it in your Week 8 portfolio according to Blackboard instructions.</x:t>
  </x:si>
  <x:si>
    <x:t xml:space="preserve">The GitHub markdown (.md) link in the interactive assignment is a separate requirement. An Excel file is not a .md file.</x:t>
  </x:si>
  <x:si>
    <x:t xml:space="preserve">COLUMN GUIDE  ·  What to enter in each column</x:t>
  </x:si>
  <x:si>
    <x:t xml:space="preserve">WBS Code</x:t>
  </x:si>
  <x:si>
    <x:t xml:space="preserve">The hierarchical number for this task (e.g. 1.0, 1.1, 1.2). Phase rows use whole numbers. Tasks under each phase use decimals.</x:t>
  </x:si>
  <x:si>
    <x:t xml:space="preserve">Task Name</x:t>
  </x:si>
  <x:si>
    <x:t xml:space="preserve">A short, specific description of the work. Use action language. Example: Configure intake workflow for Clinic 1. Not: Work on system.</x:t>
  </x:si>
  <x:si>
    <x:t xml:space="preserve">Phase</x:t>
  </x:si>
  <x:si>
    <x:t xml:space="preserve">Which major phase this task belongs to: Initiation, Planning, Development, Deployment, or Closure.</x:t>
  </x:si>
  <x:si>
    <x:t xml:space="preserve">Task Type</x:t>
  </x:si>
  <x:si>
    <x:t xml:space="preserve">Choose from the dropdown: Phase Header, Task, or Milestone. Milestone rows will highlight automatically in gold.</x:t>
  </x:si>
  <x:si>
    <x:t xml:space="preserve">Predecessor</x:t>
  </x:si>
  <x:si>
    <x:t xml:space="preserve">Enter the predecessor WBS code (such as 3.1). The A–D IDs in the interactive activity are simplified examples; they are not WBS codes. Multiple predecessors can be described in Notes.</x:t>
  </x:si>
  <x:si>
    <x:t xml:space="preserve">Dependency Type</x:t>
  </x:si>
  <x:si>
    <x:t xml:space="preserve">Choose from the dropdown: FS (Finish-to-Start), SS (Start-to-Start), FF (Finish-to-Finish), or SF (Start-to-Finish). Select the relationship that best reflects the work.</x:t>
  </x:si>
  <x:si>
    <x:t xml:space="preserve">Start Week</x:t>
  </x:si>
  <x:si>
    <x:t xml:space="preserve">Project timeline week number, not the course week. Whole numbers only. With week-level planning, exact day-level dependencies are approximate.</x:t>
  </x:si>
  <x:si>
    <x:t xml:space="preserve">End Week</x:t>
  </x:si>
  <x:si>
    <x:t xml:space="preserve">The project week when this task ends. It must be equal to or greater than Start Week.</x:t>
  </x:si>
  <x:si>
    <x:t xml:space="preserve">Duration</x:t>
  </x:si>
  <x:si>
    <x:t xml:space="preserve">Automatically calculated as inclusive elapsed weeks for tasks; milestones display 0. A week is not the same unit as the working-day durations in the interactive assignment.</x:t>
  </x:si>
  <x:si>
    <x:t xml:space="preserve">Critical Path</x:t>
  </x:si>
  <x:si>
    <x:t xml:space="preserve">Enter YES only after analyzing the dependent sequence and float. This field is a manual judgment, not an automatically calculated critical path.</x:t>
  </x:si>
  <x:si>
    <x:t xml:space="preserve">Notes</x:t>
  </x:si>
  <x:si>
    <x:t xml:space="preserve">Optional. Add context, constraints, risks, or dependency details that help explain the schedule decision.</x:t>
  </x:si>
  <x:si>
    <x:t xml:space="preserve">COLOR CODING GUIDE</x:t>
  </x:si>
  <x:si>
    <x:t xml:space="preserve">Sample</x:t>
  </x:si>
  <x:si>
    <x:t xml:space="preserve">Phase Header rows (automatically applied when Task Type = Phase Header)</x:t>
  </x:si>
  <x:si>
    <x:t xml:space="preserve">Critical Path tasks (automatically applied when Critical Path = YES)</x:t>
  </x:si>
  <x:si>
    <x:t xml:space="preserve">Milestone rows (automatically applied when Task Type = Milestone)</x:t>
  </x:si>
  <x:si>
    <x:t xml:space="preserve">Regular task rows (default for all Task rows)</x:t>
  </x:si>
  <x:si>
    <x:t xml:space="preserve">Empty or unused rows</x:t>
  </x:si>
  <x:si>
    <x:t xml:space="preserve">TIPS FOR STUDENTS NEW TO EXCEL</x:t>
  </x:si>
  <x:si>
    <x:t xml:space="preserve">1.  To move between cells, press Tab to go right or Enter to go down.</x:t>
  </x:si>
  <x:si>
    <x:t xml:space="preserve">2.  To edit a cell you already filled in, click on it and press F2, or just start typing to replace it.</x:t>
  </x:si>
  <x:si>
    <x:t xml:space="preserve">4.  Do not type in Duration (column I). Tasks use inclusive project weeks; milestones have zero duration.</x:t>
  </x:si>
  <x:si>
    <x:t xml:space="preserve">4.  Do not type in the Duration column (column I). It calculates automatically from Start Week and End Week.</x:t>
  </x:si>
  <x:si>
    <x:t xml:space="preserve">5.  If a cell shows ##### it means the column is too narrow to display the value. Drag the column edge to make it wider.</x:t>
  </x:si>
  <x:si>
    <x:t xml:space="preserve">6.  To save your work, press Ctrl+S (Windows) or Cmd+S (Mac). Save often.</x:t>
  </x:si>
  <x:si>
    <x:t xml:space="preserve">7.  When you are done, use File &gt; Save As and make sure the file type is Excel Workbook (.xlsx).</x:t>
  </x:si>
  <x:si>
    <x:t xml:space="preserve">8.  Save the completed .xlsx in your Week 8 portfolio; use a separate GitHub .md link when submitting the interactive assignment.</x:t>
  </x:si>
  <x:si>
    <x:t xml:space="preserve">Duration (weeks)
(auto; milestones = 0)</x:t>
  </x:si>
  <x:si>
    <x:t xml:space="preserve">Critical Path
(YES/blank)</x:t>
  </x:si>
  <x:si>
    <x:t xml:space="preserve">Activity ID</x:t>
  </x:si>
  <x:si>
    <x:t xml:space="preserve">Example activity</x:t>
  </x:si>
  <x:si>
    <x:t xml:space="preserve">Duration
(working days)</x:t>
  </x:si>
  <x:si>
    <x:t xml:space="preserve">Predecessor IDs</x:t>
  </x:si>
  <x:si>
    <x:t xml:space="preserve">Earliest start week</x:t>
  </x:si>
  <x:si>
    <x:t xml:space="preserve">What the predecessor means</x:t>
  </x:si>
  <x:si>
    <x:t xml:space="preserve">Practice assumptions</x:t>
  </x:si>
  <x:si>
    <x:t xml:space="preserve">Five working days per project week. Finish-to-Start relationships. Start Week is the project timeline, not the course week.</x:t>
  </x:si>
  <x:si>
    <x:t xml:space="preserve">Interpretation</x:t>
  </x:si>
  <x:si>
    <x:t xml:space="preserve">A WBS identifies project deliverables/work packages. Schedule activities are the actions needed to produce them. One work package can require several activities.</x:t>
  </x:si>
  <x:si>
    <x:t xml:space="preserve">RCHN Project Schedule · Week-by-Week View</x:t>
  </x:si>
  <x:si>
    <x:t xml:space="preserve">■ Task span     ◆ Milestone     Blank = not scheduled. Week numbers refer to the project timeline.</x:t>
  </x:si>
  <x:si>
    <x:t xml:space="preserve">WBS</x:t>
  </x:si>
  <x:si>
    <x:t xml:space="preserve">Task / milestone</x:t>
  </x:si>
  <x:si>
    <x:t xml:space="preserve">Type</x:t>
  </x:si>
  <x:si>
    <x:t xml:space="preserve">Critical?</x:t>
  </x:si>
</x:sst>
</file>

<file path=xl/styles.xml><?xml version="1.0" encoding="utf-8"?>
<x:styleSheet xmlns:x="http://schemas.openxmlformats.org/spreadsheetml/2006/main">
  <x:numFmts count="6"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200" formatCode="@"/>
    <x:numFmt numFmtId="201" formatCode="0;-0;;@"/>
  </x:numFmts>
  <x:fonts count="30">
    <x:font>
      <x:sz val="11"/>
      <x:color theme="1"/>
      <x:name val="Calibri"/>
    </x:font>
    <x:font>
      <x:sz val="10"/>
      <x:name val="Arial"/>
    </x:font>
    <x:font>
      <x:b/>
      <x:sz val="14"/>
      <x:color rgb="FFFFFFFF"/>
      <x:name val="Arial"/>
    </x:font>
    <x:font>
      <x:i/>
      <x:sz val="10"/>
      <x:color rgb="FFF59E0B"/>
      <x:name val="Arial"/>
    </x:font>
    <x:font>
      <x:b/>
      <x:sz val="10"/>
      <x:color rgb="FFFFFFFF"/>
      <x:name val="Arial"/>
    </x:font>
    <x:font>
      <x:sz val="10"/>
      <x:color rgb="FF374151"/>
      <x:name val="Arial"/>
    </x:font>
    <x:font>
      <x:b/>
      <x:sz val="9"/>
      <x:color rgb="FF1D4ED8"/>
      <x:name val="Arial"/>
    </x:font>
    <x:font>
      <x:sz val="9"/>
      <x:color rgb="FF374151"/>
      <x:name val="Arial"/>
    </x:font>
    <x:font>
      <x:b/>
      <x:sz val="9"/>
      <x:color rgb="FFFFFFFF"/>
      <x:name val="Arial"/>
    </x:font>
    <x:font>
      <x:b/>
      <x:sz val="9"/>
      <x:color rgb="FFF59E0B"/>
      <x:name val="Arial"/>
    </x:font>
    <x:font>
      <x:b/>
      <x:sz val="9"/>
      <x:color rgb="FF15803D"/>
      <x:name val="Arial"/>
    </x:font>
    <x:font>
      <x:b/>
      <x:sz val="9"/>
      <x:color rgb="FF374151"/>
      <x:name val="Arial"/>
    </x:font>
    <x:font>
      <x:b/>
      <x:sz val="12"/>
      <x:color rgb="FFFFFFFF"/>
      <x:name val="Arial"/>
    </x:font>
    <x:font>
      <x:sz val="9"/>
      <x:color rgb="FF9CA3AF"/>
      <x:name val="Arial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sz val="11"/>
      <x:color rgb="FF2563EB"/>
      <x:name val="Calibri"/>
    </x:font>
    <x:font>
      <x:b/>
      <x:sz val="12"/>
      <x:color rgb="FFFFFFFF"/>
      <x:name val="Aptos"/>
      <x:family val="2"/>
    </x:font>
    <x:font>
      <x:sz val="12"/>
      <x:color theme="1"/>
      <x:name val="Calibri"/>
      <x:family val="2"/>
    </x:font>
    <x:font>
      <x:sz val="12"/>
      <x:color theme="1"/>
      <x:name val="Aptos"/>
      <x:family val="2"/>
    </x:font>
    <x:font>
      <x:b/>
      <x:sz val="10"/>
      <x:color rgb="FFFFFFFF"/>
      <x:name val="Aptos"/>
      <x:family val="2"/>
    </x:font>
    <x:font>
      <x:sz val="10"/>
      <x:color theme="1"/>
      <x:name val="Calibri"/>
      <x:family val="2"/>
    </x:font>
    <x:font>
      <x:b/>
      <x:sz val="9"/>
      <x:color rgb="FFFFFFFF"/>
      <x:name val="Aptos"/>
      <x:family val="2"/>
    </x:font>
    <x:font>
      <x:sz val="9"/>
      <x:color theme="1"/>
      <x:name val="Aptos"/>
      <x:family val="2"/>
    </x:font>
    <x:font>
      <x:sz val="9"/>
      <x:color theme="1"/>
      <x:name val="Calibri"/>
      <x:family val="2"/>
    </x:font>
    <x:font>
      <x:sz val="9"/>
      <x:color rgb="FF172033"/>
      <x:name val="Aptos"/>
      <x:family val="2"/>
    </x:font>
    <x:font>
      <x:b/>
      <x:sz val="9"/>
      <x:color rgb="FF334155"/>
      <x:name val="Arial"/>
    </x:font>
    <x:font>
      <x:sz val="9"/>
      <x:color rgb="FF334155"/>
      <x:name val="Arial"/>
    </x:font>
    <x:font>
      <x:sz val="9"/>
      <x:color rgb="FF334155"/>
      <x:name val="Arial"/>
    </x:font>
    <x:font>
      <x:sz val="9"/>
      <x:color rgb="FFFFFFFF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0F1E3D"/>
      </x:patternFill>
    </x:fill>
    <x:fill>
      <x:patternFill patternType="solid">
        <x:fgColor rgb="FF1D4ED8"/>
      </x:patternFill>
    </x:fill>
    <x:fill>
      <x:patternFill patternType="solid">
        <x:fgColor rgb="FFF3F4F6"/>
      </x:patternFill>
    </x:fill>
    <x:fill>
      <x:patternFill patternType="solid">
        <x:fgColor rgb="FFDBEAFE"/>
      </x:patternFill>
    </x:fill>
    <x:fill>
      <x:patternFill patternType="solid">
        <x:fgColor rgb="FFFFFFFF"/>
      </x:patternFill>
    </x:fill>
    <x:fill>
      <x:patternFill patternType="solid">
        <x:fgColor rgb="FFFEF9C3"/>
      </x:patternFill>
    </x:fill>
    <x:fill>
      <x:patternFill patternType="solid">
        <x:fgColor rgb="FFDCFCE7"/>
      </x:patternFill>
    </x:fill>
    <x:fill>
      <x:patternFill patternType="solid">
        <x:fgColor rgb="FF172033"/>
      </x:patternFill>
    </x:fill>
    <x:fill>
      <x:patternFill patternType="solid">
        <x:fgColor rgb="FF2563EB"/>
      </x:patternFill>
    </x:fill>
    <x:fill>
      <x:patternFill patternType="solid">
        <x:fgColor rgb="FF172033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AF2FF"/>
      </x:patternFill>
    </x:fill>
    <x:fill>
      <x:patternFill patternType="solid">
        <x:fgColor rgb="FFFFFDF7"/>
      </x:patternFill>
    </x:fill>
    <x:fill>
      <x:patternFill patternType="solid">
        <x:fgColor rgb="FFDCFCE7"/>
      </x:patternFill>
    </x:fill>
    <x:fill>
      <x:patternFill patternType="solid">
        <x:fgColor rgb="FF14213D"/>
      </x:patternFill>
    </x:fill>
    <x:fill>
      <x:patternFill patternType="solid">
        <x:fgColor rgb="FFFFF8C5"/>
      </x:patternFill>
    </x:fill>
  </x:fills>
  <x:borders count="3">
    <x:border>
      <x:left/>
      <x:right/>
      <x:top/>
      <x:bottom/>
      <x:diagonal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0F1E3D"/>
      </x:left>
      <x:right style="thin">
        <x:color rgb="FF0F1E3D"/>
      </x:right>
      <x:top style="thin">
        <x:color rgb="FF0F1E3D"/>
      </x:top>
      <x:bottom style="thin">
        <x:color rgb="FF0F1E3D"/>
      </x:bottom>
      <x:diagonal/>
    </x:border>
  </x:borders>
  <x:cellStyleXfs count="6">
    <x:xf numFmtId="0" fontId="0" fillId="0" borderId="0"/>
    <x:xf numFmtId="43" fontId="1" fillId="0" borderId="0" applyBorder="0" applyAlignment="0" applyProtection="0"/>
    <x:xf numFmtId="41" fontId="1" fillId="0" borderId="0" applyBorder="0" applyAlignment="0" applyProtection="0"/>
    <x:xf numFmtId="44" fontId="1" fillId="0" borderId="0" applyBorder="0" applyAlignment="0" applyProtection="0"/>
    <x:xf numFmtId="42" fontId="1" fillId="0" borderId="0" applyBorder="0" applyAlignment="0" applyProtection="0"/>
    <x:xf numFmtId="9" fontId="1" fillId="0" borderId="0" applyBorder="0" applyAlignment="0" applyProtection="0"/>
  </x:cellStyleXfs>
  <x:cellXfs count="95">
    <x:xf numFmtId="0" fontId="0" fillId="0" borderId="0" xfId="0"/>
    <x:xf numFmtId="0" fontId="11" fillId="6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12" fillId="2" borderId="0" xfId="0" applyFont="1" applyFill="1" applyAlignment="1">
      <x:alignment horizontal="center" vertical="center"/>
    </x:xf>
    <x:xf numFmtId="0" fontId="7" fillId="6" borderId="0" xfId="0" applyFont="1" applyFill="1" applyAlignment="1">
      <x:alignment horizontal="left" vertical="center" wrapText="1"/>
    </x:xf>
    <x:xf numFmtId="0" fontId="7" fillId="4" borderId="0" xfId="0" applyFont="1" applyFill="1" applyAlignment="1">
      <x:alignment horizontal="left" vertical="center" wrapText="1"/>
    </x:xf>
    <x:xf numFmtId="0" fontId="7" fillId="6" borderId="1" xfId="0" applyFont="1" applyFill="1" applyBorder="1" applyAlignment="1">
      <x:alignment horizontal="left" vertical="center"/>
    </x:xf>
    <x:xf numFmtId="0" fontId="7" fillId="6" borderId="1" xfId="0" applyFont="1" applyFill="1" applyBorder="1" applyAlignment="1">
      <x:alignment horizontal="left" vertical="center" wrapText="1"/>
    </x:xf>
    <x:xf numFmtId="0" fontId="5" fillId="4" borderId="0" xfId="0" applyFont="1" applyFill="1" applyAlignment="1">
      <x:alignment horizontal="left" vertical="center" wrapText="1"/>
    </x:xf>
    <x:xf numFmtId="0" fontId="4" fillId="3" borderId="0" xfId="0" applyFont="1" applyFill="1" applyAlignment="1">
      <x:alignment horizontal="left" vertical="center"/>
    </x:xf>
    <x:xf numFmtId="0" fontId="3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6" fillId="5" borderId="1" xfId="0" applyFont="1" applyFill="1" applyBorder="1" applyAlignment="1">
      <x:alignment horizontal="left" vertical="center" wrapText="1"/>
    </x:xf>
    <x:xf numFmtId="0" fontId="8" fillId="2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center" vertical="center"/>
    </x:xf>
    <x:xf numFmtId="0" fontId="9" fillId="7" borderId="1" xfId="0" applyFont="1" applyFill="1" applyBorder="1" applyAlignment="1">
      <x:alignment horizontal="center" vertical="center"/>
    </x:xf>
    <x:xf numFmtId="0" fontId="10" fillId="8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0" fontId="8" fillId="3" borderId="2" xfId="0" applyFont="1" applyFill="1" applyBorder="1" applyAlignment="1">
      <x:alignment horizontal="center" vertical="center" wrapText="1"/>
    </x:xf>
    <x:xf numFmtId="0" fontId="8" fillId="2" borderId="1" xfId="0" applyFont="1" applyFill="1" applyBorder="1" applyAlignment="1">
      <x:alignment horizontal="left" vertical="center" wrapText="1"/>
    </x:xf>
    <x:xf numFmtId="0" fontId="7" fillId="8" borderId="1" xfId="0" applyFont="1" applyFill="1" applyBorder="1" applyAlignment="1">
      <x:alignment horizontal="center" vertical="center"/>
    </x:xf>
    <x:xf numFmtId="0" fontId="7" fillId="8" borderId="1" xfId="0" applyFont="1" applyFill="1" applyBorder="1" applyAlignment="1">
      <x:alignment horizontal="left" vertical="center" wrapText="1"/>
    </x:xf>
    <x:xf numFmtId="0" fontId="11" fillId="7" borderId="1" xfId="0" applyFont="1" applyFill="1" applyBorder="1" applyAlignment="1">
      <x:alignment horizontal="center" vertical="center"/>
    </x:xf>
    <x:xf numFmtId="0" fontId="11" fillId="7" borderId="1" xfId="0" applyFont="1" applyFill="1" applyBorder="1" applyAlignment="1">
      <x:alignment horizontal="left" vertical="center" wrapText="1"/>
    </x:xf>
    <x:xf numFmtId="0" fontId="13" fillId="4" borderId="1" xfId="0" applyFont="1" applyFill="1" applyBorder="1" applyAlignment="1">
      <x:alignment horizontal="center" vertical="center"/>
    </x:xf>
    <x:xf numFmtId="0" fontId="13" fillId="4" borderId="1" xfId="0" applyFont="1" applyFill="1" applyBorder="1" applyAlignment="1">
      <x:alignment horizontal="left" vertical="center" wrapText="1"/>
    </x:xf>
    <x:xf numFmtId="0" fontId="15" fillId="10" borderId="0" xfId="0" applyFont="1" applyFill="1"/>
    <x:xf numFmtId="0" fontId="0" fillId="0" borderId="0" xfId="0" applyAlignment="1">
      <x:alignment wrapText="1"/>
    </x:xf>
    <x:xf numFmtId="0" fontId="16" fillId="0" borderId="0" xfId="0" applyFont="1" applyAlignment="1">
      <x:alignment horizontal="center"/>
    </x:xf>
    <x:xf numFmtId="0" fontId="14" fillId="9" borderId="0" xfId="0" applyFont="1" applyFill="1"/>
    <x:xf numFmtId="0" fontId="17" fillId="11" borderId="0" xfId="0" applyFont="1" applyFill="1" applyAlignment="1">
      <x:alignment vertical="center" wrapText="1"/>
    </x:xf>
    <x:xf numFmtId="0" fontId="18" fillId="0" borderId="0" xfId="0" applyFont="1"/>
    <x:xf numFmtId="0" fontId="19" fillId="0" borderId="0" xfId="0" applyFont="1" applyAlignment="1">
      <x:alignment vertical="center" wrapText="1"/>
    </x:xf>
    <x:xf numFmtId="0" fontId="21" fillId="0" borderId="0" xfId="0" applyFont="1"/>
    <x:xf numFmtId="0" fontId="22" fillId="11" borderId="0" xfId="0" applyFont="1" applyFill="1" applyAlignment="1">
      <x:alignment horizontal="center" vertical="center" wrapText="1"/>
    </x:xf>
    <x:xf numFmtId="0" fontId="23" fillId="13" borderId="0" xfId="0" applyFont="1" applyFill="1" applyAlignment="1">
      <x:alignment vertical="center" wrapText="1"/>
    </x:xf>
    <x:xf numFmtId="0" fontId="23" fillId="13" borderId="0" xfId="0" applyFont="1" applyFill="1" applyAlignment="1">
      <x:alignment horizontal="center" vertical="center" wrapText="1"/>
    </x:xf>
    <x:xf numFmtId="0" fontId="24" fillId="0" borderId="0" xfId="0" applyFont="1"/>
    <x:xf numFmtId="0" fontId="23" fillId="14" borderId="0" xfId="0" applyFont="1" applyFill="1" applyAlignment="1">
      <x:alignment vertical="center" wrapText="1"/>
    </x:xf>
    <x:xf numFmtId="0" fontId="23" fillId="14" borderId="0" xfId="0" applyFont="1" applyFill="1" applyAlignment="1">
      <x:alignment horizontal="center" vertical="center" wrapText="1"/>
    </x:xf>
    <x:xf numFmtId="0" fontId="20" fillId="12" borderId="0" xfId="0" applyFont="1" applyFill="1" applyAlignment="1">
      <x:alignment vertical="center" wrapText="1"/>
    </x:xf>
    <x:xf numFmtId="0" fontId="20" fillId="12" borderId="0" xfId="0" applyFont="1" applyFill="1" applyAlignment="1">
      <x:alignment horizontal="center" vertical="center" wrapText="1"/>
    </x:xf>
    <x:xf numFmtId="0" fontId="20" fillId="11" borderId="0" xfId="0" applyFont="1" applyFill="1" applyAlignment="1">
      <x:alignment vertical="center" wrapText="1"/>
    </x:xf>
    <x:xf numFmtId="0" fontId="25" fillId="15" borderId="0" xfId="0" applyFont="1" applyFill="1" applyAlignment="1">
      <x:alignment vertical="center" wrapText="1"/>
    </x:xf>
    <x:xf numFmtId="0" fontId="25" fillId="14" borderId="0" xfId="0" applyFont="1" applyFill="1" applyAlignment="1">
      <x:alignment vertical="center" wrapText="1"/>
    </x:xf>
    <x:xf numFmtId="200" fontId="8" fillId="2" borderId="1" xfId="0" applyNumberFormat="1" applyFont="1" applyFill="1" applyBorder="1" applyAlignment="1">
      <x:alignment horizontal="center" vertical="center"/>
    </x:xf>
    <x:xf numFmtId="200" fontId="7" fillId="8" borderId="1" xfId="0" applyNumberFormat="1" applyFont="1" applyFill="1" applyBorder="1" applyAlignment="1">
      <x:alignment horizontal="center" vertical="center"/>
    </x:xf>
    <x:xf numFmtId="200" fontId="11" fillId="7" borderId="1" xfId="0" applyNumberFormat="1" applyFont="1" applyFill="1" applyBorder="1" applyAlignment="1">
      <x:alignment horizontal="center" vertical="center"/>
    </x:xf>
    <x:xf numFmtId="200" fontId="13" fillId="4" borderId="1" xfId="0" applyNumberFormat="1" applyFont="1" applyFill="1" applyBorder="1" applyAlignment="1">
      <x:alignment horizontal="center" vertical="center"/>
    </x:xf>
    <x:xf numFmtId="200" fontId="8" fillId="16" borderId="1" xfId="0" applyNumberFormat="1" applyFont="1" applyFill="1" applyBorder="1" applyAlignment="1">
      <x:alignment horizontal="center" vertical="center"/>
    </x:xf>
    <x:xf numFmtId="0" fontId="8" fillId="16" borderId="1" xfId="0" applyNumberFormat="1" applyFont="1" applyFill="1" applyBorder="1" applyAlignment="1">
      <x:alignment horizontal="left" vertical="center" wrapText="1"/>
    </x:xf>
    <x:xf numFmtId="0" fontId="8" fillId="16" borderId="1" xfId="0" applyNumberFormat="1" applyFont="1" applyFill="1" applyBorder="1" applyAlignment="1">
      <x:alignment horizontal="center" vertical="center"/>
    </x:xf>
    <x:xf numFmtId="200" fontId="7" fillId="16" borderId="1" xfId="0" applyNumberFormat="1" applyFont="1" applyFill="1" applyBorder="1" applyAlignment="1">
      <x:alignment horizontal="center" vertical="center"/>
    </x:xf>
    <x:xf numFmtId="0" fontId="7" fillId="16" borderId="1" xfId="0" applyNumberFormat="1" applyFont="1" applyFill="1" applyBorder="1" applyAlignment="1">
      <x:alignment horizontal="left" vertical="center" wrapText="1"/>
    </x:xf>
    <x:xf numFmtId="0" fontId="7" fillId="16" borderId="1" xfId="0" applyNumberFormat="1" applyFont="1" applyFill="1" applyBorder="1" applyAlignment="1">
      <x:alignment horizontal="center" vertical="center"/>
    </x:xf>
    <x:xf numFmtId="200" fontId="11" fillId="16" borderId="1" xfId="0" applyNumberFormat="1" applyFont="1" applyFill="1" applyBorder="1" applyAlignment="1">
      <x:alignment horizontal="center" vertical="center"/>
    </x:xf>
    <x:xf numFmtId="0" fontId="11" fillId="16" borderId="1" xfId="0" applyNumberFormat="1" applyFont="1" applyFill="1" applyBorder="1" applyAlignment="1">
      <x:alignment horizontal="left" vertical="center" wrapText="1"/>
    </x:xf>
    <x:xf numFmtId="0" fontId="11" fillId="16" borderId="1" xfId="0" applyNumberFormat="1" applyFont="1" applyFill="1" applyBorder="1" applyAlignment="1">
      <x:alignment horizontal="center" vertical="center"/>
    </x:xf>
    <x:xf numFmtId="200" fontId="13" fillId="16" borderId="1" xfId="0" applyNumberFormat="1" applyFont="1" applyFill="1" applyBorder="1" applyAlignment="1">
      <x:alignment horizontal="center" vertical="center"/>
    </x:xf>
    <x:xf numFmtId="0" fontId="13" fillId="16" borderId="1" xfId="0" applyNumberFormat="1" applyFont="1" applyFill="1" applyBorder="1" applyAlignment="1">
      <x:alignment horizontal="left" vertical="center" wrapText="1"/>
    </x:xf>
    <x:xf numFmtId="0" fontId="13" fillId="16" borderId="1" xfId="0" applyNumberFormat="1" applyFont="1" applyFill="1" applyBorder="1" applyAlignment="1">
      <x:alignment horizontal="center" vertical="center"/>
    </x:xf>
    <x:xf numFmtId="200" fontId="26" fillId="16" borderId="1" xfId="0" applyNumberFormat="1" applyFont="1" applyFill="1" applyBorder="1" applyAlignment="1">
      <x:alignment horizontal="center" vertical="center"/>
    </x:xf>
    <x:xf numFmtId="0" fontId="26" fillId="16" borderId="1" xfId="0" applyNumberFormat="1" applyFont="1" applyFill="1" applyBorder="1" applyAlignment="1">
      <x:alignment horizontal="left" vertical="center" wrapText="1"/>
    </x:xf>
    <x:xf numFmtId="0" fontId="26" fillId="16" borderId="1" xfId="0" applyNumberFormat="1" applyFont="1" applyFill="1" applyBorder="1" applyAlignment="1">
      <x:alignment horizontal="center" vertical="center"/>
    </x:xf>
    <x:xf numFmtId="200" fontId="27" fillId="16" borderId="1" xfId="0" applyNumberFormat="1" applyFont="1" applyFill="1" applyBorder="1" applyAlignment="1">
      <x:alignment horizontal="center" vertical="center"/>
    </x:xf>
    <x:xf numFmtId="0" fontId="27" fillId="16" borderId="1" xfId="0" applyNumberFormat="1" applyFont="1" applyFill="1" applyBorder="1" applyAlignment="1">
      <x:alignment horizontal="left" vertical="center" wrapText="1"/>
    </x:xf>
    <x:xf numFmtId="0" fontId="27" fillId="16" borderId="1" xfId="0" applyNumberFormat="1" applyFont="1" applyFill="1" applyBorder="1" applyAlignment="1">
      <x:alignment horizontal="center" vertical="center"/>
    </x:xf>
    <x:xf numFmtId="200" fontId="28" fillId="16" borderId="1" xfId="0" applyNumberFormat="1" applyFont="1" applyFill="1" applyBorder="1" applyAlignment="1">
      <x:alignment horizontal="center" vertical="center"/>
    </x:xf>
    <x:xf numFmtId="0" fontId="28" fillId="16" borderId="1" xfId="0" applyNumberFormat="1" applyFont="1" applyFill="1" applyBorder="1" applyAlignment="1">
      <x:alignment horizontal="left" vertical="center" wrapText="1"/>
    </x:xf>
    <x:xf numFmtId="0" fontId="28" fillId="16" borderId="1" xfId="0" applyNumberFormat="1" applyFont="1" applyFill="1" applyBorder="1" applyAlignment="1">
      <x:alignment horizontal="center" vertical="center"/>
    </x:xf>
    <x:xf numFmtId="200" fontId="28" fillId="17" borderId="1" xfId="0" applyNumberFormat="1" applyFont="1" applyFill="1" applyBorder="1" applyAlignment="1">
      <x:alignment horizontal="center" vertical="center"/>
    </x:xf>
    <x:xf numFmtId="0" fontId="28" fillId="17" borderId="1" xfId="0" applyNumberFormat="1" applyFont="1" applyFill="1" applyBorder="1" applyAlignment="1">
      <x:alignment horizontal="left" vertical="center" wrapText="1"/>
    </x:xf>
    <x:xf numFmtId="0" fontId="28" fillId="17" borderId="1" xfId="0" applyNumberFormat="1" applyFont="1" applyFill="1" applyBorder="1" applyAlignment="1">
      <x:alignment horizontal="center" vertical="center"/>
    </x:xf>
    <x:xf numFmtId="200" fontId="29" fillId="17" borderId="1" xfId="0" applyNumberFormat="1" applyFont="1" applyFill="1" applyBorder="1" applyAlignment="1">
      <x:alignment horizontal="center" vertical="center"/>
    </x:xf>
    <x:xf numFmtId="0" fontId="29" fillId="17" borderId="1" xfId="0" applyNumberFormat="1" applyFont="1" applyFill="1" applyBorder="1" applyAlignment="1">
      <x:alignment horizontal="left" vertical="center" wrapText="1"/>
    </x:xf>
    <x:xf numFmtId="0" fontId="29" fillId="17" borderId="1" xfId="0" applyNumberFormat="1" applyFont="1" applyFill="1" applyBorder="1" applyAlignment="1">
      <x:alignment horizontal="center" vertical="center"/>
    </x:xf>
    <x:xf numFmtId="200" fontId="8" fillId="17" borderId="1" xfId="0" applyNumberFormat="1" applyFont="1" applyFill="1" applyBorder="1" applyAlignment="1">
      <x:alignment horizontal="center" vertical="center"/>
    </x:xf>
    <x:xf numFmtId="0" fontId="8" fillId="17" borderId="1" xfId="0" applyNumberFormat="1" applyFont="1" applyFill="1" applyBorder="1" applyAlignment="1">
      <x:alignment horizontal="left" vertical="center" wrapText="1"/>
    </x:xf>
    <x:xf numFmtId="0" fontId="8" fillId="17" borderId="1" xfId="0" applyNumberFormat="1" applyFont="1" applyFill="1" applyBorder="1" applyAlignment="1">
      <x:alignment horizontal="center" vertical="center"/>
    </x:xf>
    <x:xf numFmtId="200" fontId="28" fillId="18" borderId="1" xfId="0" applyNumberFormat="1" applyFont="1" applyFill="1" applyBorder="1" applyAlignment="1">
      <x:alignment horizontal="center" vertical="center"/>
    </x:xf>
    <x:xf numFmtId="0" fontId="28" fillId="18" borderId="1" xfId="0" applyNumberFormat="1" applyFont="1" applyFill="1" applyBorder="1" applyAlignment="1">
      <x:alignment horizontal="left" vertical="center" wrapText="1"/>
    </x:xf>
    <x:xf numFmtId="0" fontId="28" fillId="18" borderId="1" xfId="0" applyNumberFormat="1" applyFont="1" applyFill="1" applyBorder="1" applyAlignment="1">
      <x:alignment horizontal="center" vertical="center"/>
    </x:xf>
    <x:xf numFmtId="200" fontId="26" fillId="18" borderId="1" xfId="0" applyNumberFormat="1" applyFont="1" applyFill="1" applyBorder="1" applyAlignment="1">
      <x:alignment horizontal="center" vertical="center"/>
    </x:xf>
    <x:xf numFmtId="0" fontId="26" fillId="18" borderId="1" xfId="0" applyNumberFormat="1" applyFont="1" applyFill="1" applyBorder="1" applyAlignment="1">
      <x:alignment horizontal="left" vertical="center" wrapText="1"/>
    </x:xf>
    <x:xf numFmtId="0" fontId="26" fillId="18" borderId="1" xfId="0" applyNumberFormat="1" applyFont="1" applyFill="1" applyBorder="1" applyAlignment="1">
      <x:alignment horizontal="center" vertical="center"/>
    </x:xf>
    <x:xf numFmtId="0" fontId="8" fillId="17" borderId="1" xfId="0" applyNumberFormat="1" applyFont="1" applyFill="1" applyBorder="1" applyAlignment="1">
      <x:alignment horizontal="center" vertical="center" wrapText="1"/>
    </x:xf>
    <x:xf numFmtId="0" fontId="28" fillId="16" borderId="1" xfId="0" applyNumberFormat="1" applyFont="1" applyFill="1" applyBorder="1" applyAlignment="1">
      <x:alignment horizontal="center" vertical="center" wrapText="1"/>
    </x:xf>
    <x:xf numFmtId="0" fontId="26" fillId="18" borderId="1" xfId="0" applyNumberFormat="1" applyFont="1" applyFill="1" applyBorder="1" applyAlignment="1">
      <x:alignment horizontal="center" vertical="center" wrapText="1"/>
    </x:xf>
    <x:xf numFmtId="0" fontId="23" fillId="6" borderId="0" xfId="0" applyNumberFormat="1" applyFont="1" applyFill="1" applyBorder="1" applyAlignment="1">
      <x:alignment vertical="center" wrapText="1"/>
    </x:xf>
    <x:xf numFmtId="0" fontId="23" fillId="6" borderId="0" xfId="0" applyNumberFormat="1" applyFont="1" applyFill="1" applyBorder="1" applyAlignment="1">
      <x:alignment horizontal="center" vertical="center" wrapText="1"/>
    </x:xf>
    <x:xf numFmtId="0" fontId="23" fillId="14" borderId="0" xfId="0" applyNumberFormat="1" applyFont="1" applyFill="1" applyBorder="1" applyAlignment="1">
      <x:alignment vertical="center" wrapText="1"/>
    </x:xf>
    <x:xf numFmtId="0" fontId="23" fillId="1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6">
    <x:cellStyle name="Comma" xfId="1"/>
    <x:cellStyle name="Comma [0]" xfId="2"/>
    <x:cellStyle name="Currency" xfId="3"/>
    <x:cellStyle name="Currency [0]" xfId="4"/>
    <x:cellStyle name="Normal" xfId="0"/>
    <x:cellStyle name="Percent" xfId="5"/>
  </x:cellStyles>
  <x:dxfs count="3">
    <x:dxf>
      <x:font>
        <x:b/>
        <x:color rgb="FFB45309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sz val="9"/>
        <x:color rgb="FF1D4ED8"/>
        <x:name val="Arial"/>
      </x:font>
      <x:fill>
        <x:patternFill>
          <x:bgColor rgb="FFDBEAF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15803D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EF9C3"/>
      <x:rgbColor rgb="FFDCFCE7"/>
      <x:rgbColor rgb="FF660066"/>
      <x:rgbColor rgb="FFFF8080"/>
      <x:rgbColor rgb="FF1D4ED8"/>
      <x:rgbColor rgb="FFD1D5DB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BEAFE"/>
      <x:rgbColor rgb="FFF3F4F6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59E0B"/>
      <x:rgbColor rgb="FFFF6600"/>
      <x:rgbColor rgb="FF666699"/>
      <x:rgbColor rgb="FF9CA3AF"/>
      <x:rgbColor rgb="FF0F1E3D"/>
      <x:rgbColor rgb="FF339966"/>
      <x:rgbColor rgb="FF003300"/>
      <x:rgbColor rgb="FF333300"/>
      <x:rgbColor rgb="FF993300"/>
      <x:rgbColor rgb="FF993366"/>
      <x:rgbColor rgb="FF333399"/>
      <x:rgbColor rgb="FF374151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bd4f712aa4049" /><Relationship Type="http://schemas.openxmlformats.org/officeDocument/2006/relationships/theme" Target="/xl/theme/theme1.xml" Id="Reb880ad30bd84dc0" /><Relationship Type="http://schemas.openxmlformats.org/officeDocument/2006/relationships/sharedStrings" Target="/xl/sharedStrings.xml" Id="R473c708beef84b76" /><Relationship Type="http://schemas.openxmlformats.org/officeDocument/2006/relationships/worksheet" Target="/xl/worksheets/sheet1.xml" Id="R8d97a3a2e3bd473e" /><Relationship Type="http://schemas.openxmlformats.org/officeDocument/2006/relationships/worksheet" Target="/xl/worksheets/sheet2.xml" Id="Rda80362408de405f" /><Relationship Type="http://schemas.openxmlformats.org/officeDocument/2006/relationships/worksheet" Target="/xl/worksheets/sheet3.xml" Id="R72c7338b5789422b" /><Relationship Type="http://schemas.openxmlformats.org/officeDocument/2006/relationships/worksheet" Target="/xl/worksheets/sheet4.xml" Id="R25f35f700e494b4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9140625" defaultRowHeight="14.600000381469727"/>
  <x:cols>
    <x:col min="1" max="1" width="3" customWidth="1"/>
    <x:col min="2" max="2" width="22" customWidth="1"/>
    <x:col min="3" max="3" width="60" customWidth="1"/>
    <x:col min="4" max="4" width="22" customWidth="1"/>
  </x:cols>
  <x:sheetData>
    <x:row r="1" ht="6" customHeight="1"/>
    <x:row r="2">
      <x:c r="B2" s="11" t="s">
        <x:v>0</x:v>
      </x:c>
      <x:c r="C2" s="11"/>
      <x:c r="D2" s="11"/>
    </x:row>
    <x:row r="3">
      <x:c r="B3" s="11"/>
      <x:c r="C3" s="11"/>
      <x:c r="D3" s="11"/>
    </x:row>
    <x:row r="4">
      <x:c r="B4" s="10" t="s">
        <x:v>1</x:v>
      </x:c>
      <x:c r="C4" s="10"/>
      <x:c r="D4" s="10"/>
    </x:row>
    <x:row r="5" ht="7.5" customHeight="1"/>
    <x:row r="6" ht="21.75" customHeight="1">
      <x:c r="B6" s="9" t="s">
        <x:v>2</x:v>
      </x:c>
      <x:c r="C6" s="9"/>
      <x:c r="D6" s="9"/>
    </x:row>
    <x:row r="7" ht="18" customHeight="1">
      <x:c r="B7" s="8" t="s">
        <x:v>3</x:v>
      </x:c>
      <x:c r="C7" s="8"/>
      <x:c r="D7" s="8"/>
    </x:row>
    <x:row r="8" ht="27" customHeight="1">
      <x:c r="B8" s="8" t="s">
        <x:v>4</x:v>
      </x:c>
      <x:c r="C8" s="8"/>
      <x:c r="D8" s="8"/>
    </x:row>
    <x:row r="9" ht="18" customHeight="1">
      <x:c r="B9" s="8" t="s">
        <x:v>5</x:v>
      </x:c>
      <x:c r="C9" s="8"/>
      <x:c r="D9" s="8"/>
    </x:row>
    <x:row r="10" ht="18" customHeight="1">
      <x:c r="B10" s="8" t="s">
        <x:v>6</x:v>
      </x:c>
      <x:c r="C10" s="8"/>
      <x:c r="D10" s="8"/>
    </x:row>
    <x:row r="11" ht="18" customHeight="1">
      <x:c r="B11" s="8" t="s">
        <x:v>7</x:v>
      </x:c>
      <x:c r="C11" s="8"/>
      <x:c r="D11" s="8"/>
    </x:row>
    <x:row r="12" ht="9.75" customHeight="1"/>
    <x:row r="13" ht="21.75" customHeight="1">
      <x:c r="B13" s="9" t="s">
        <x:v>8</x:v>
      </x:c>
      <x:c r="C13" s="9"/>
      <x:c r="D13" s="9"/>
    </x:row>
    <x:row r="14" ht="36" customHeight="1">
      <x:c r="B14" s="12" t="s">
        <x:v>9</x:v>
      </x:c>
      <x:c r="C14" s="7" t="s">
        <x:v>10</x:v>
      </x:c>
      <x:c r="D14" s="7"/>
    </x:row>
    <x:row r="15" ht="36" customHeight="1">
      <x:c r="B15" s="12" t="s">
        <x:v>11</x:v>
      </x:c>
      <x:c r="C15" s="7" t="s">
        <x:v>12</x:v>
      </x:c>
      <x:c r="D15" s="7"/>
    </x:row>
    <x:row r="16" ht="36" customHeight="1">
      <x:c r="B16" s="12" t="s">
        <x:v>13</x:v>
      </x:c>
      <x:c r="C16" s="7" t="s">
        <x:v>14</x:v>
      </x:c>
      <x:c r="D16" s="7"/>
    </x:row>
    <x:row r="17" ht="36" customHeight="1">
      <x:c r="B17" s="12" t="s">
        <x:v>15</x:v>
      </x:c>
      <x:c r="C17" s="7" t="s">
        <x:v>16</x:v>
      </x:c>
      <x:c r="D17" s="7"/>
    </x:row>
    <x:row r="18" ht="36" customHeight="1">
      <x:c r="B18" s="12" t="s">
        <x:v>17</x:v>
      </x:c>
      <x:c r="C18" s="7" t="s">
        <x:v>18</x:v>
      </x:c>
      <x:c r="D18" s="7"/>
    </x:row>
    <x:row r="19" ht="36" customHeight="1">
      <x:c r="B19" s="12" t="s">
        <x:v>19</x:v>
      </x:c>
      <x:c r="C19" s="7" t="s">
        <x:v>20</x:v>
      </x:c>
      <x:c r="D19" s="7"/>
    </x:row>
    <x:row r="20" ht="36" customHeight="1">
      <x:c r="B20" s="12" t="s">
        <x:v>21</x:v>
      </x:c>
      <x:c r="C20" s="7" t="s">
        <x:v>22</x:v>
      </x:c>
      <x:c r="D20" s="7"/>
    </x:row>
    <x:row r="21" ht="36" customHeight="1">
      <x:c r="B21" s="12" t="s">
        <x:v>23</x:v>
      </x:c>
      <x:c r="C21" s="7" t="s">
        <x:v>24</x:v>
      </x:c>
      <x:c r="D21" s="7"/>
    </x:row>
    <x:row r="22" ht="36" customHeight="1">
      <x:c r="B22" s="12" t="s">
        <x:v>25</x:v>
      </x:c>
      <x:c r="C22" s="7" t="s">
        <x:v>26</x:v>
      </x:c>
      <x:c r="D22" s="7"/>
    </x:row>
    <x:row r="23" ht="36" customHeight="1">
      <x:c r="B23" s="12" t="s">
        <x:v>27</x:v>
      </x:c>
      <x:c r="C23" s="7" t="s">
        <x:v>28</x:v>
      </x:c>
      <x:c r="D23" s="7"/>
    </x:row>
    <x:row r="24" ht="36" customHeight="1">
      <x:c r="B24" s="12" t="s">
        <x:v>29</x:v>
      </x:c>
      <x:c r="C24" s="7" t="s">
        <x:v>30</x:v>
      </x:c>
      <x:c r="D24" s="7"/>
    </x:row>
    <x:row r="25" ht="9.75" customHeight="1"/>
    <x:row r="26" ht="21.75" customHeight="1">
      <x:c r="B26" s="9" t="s">
        <x:v>31</x:v>
      </x:c>
      <x:c r="C26" s="9"/>
      <x:c r="D26" s="9"/>
    </x:row>
    <x:row r="27" ht="21.75" customHeight="1">
      <x:c r="B27" s="13" t="s">
        <x:v>32</x:v>
      </x:c>
      <x:c r="C27" s="6" t="s">
        <x:v>33</x:v>
      </x:c>
      <x:c r="D27" s="6"/>
    </x:row>
    <x:row r="28" ht="21.75" customHeight="1">
      <x:c r="B28" s="14" t="s">
        <x:v>32</x:v>
      </x:c>
      <x:c r="C28" s="6" t="s">
        <x:v>34</x:v>
      </x:c>
      <x:c r="D28" s="6"/>
    </x:row>
    <x:row r="29" ht="21.75" customHeight="1">
      <x:c r="B29" s="15" t="s">
        <x:v>32</x:v>
      </x:c>
      <x:c r="C29" s="6" t="s">
        <x:v>35</x:v>
      </x:c>
      <x:c r="D29" s="6"/>
    </x:row>
    <x:row r="30" ht="21.75" customHeight="1">
      <x:c r="B30" s="16" t="s">
        <x:v>32</x:v>
      </x:c>
      <x:c r="C30" s="6" t="s">
        <x:v>36</x:v>
      </x:c>
      <x:c r="D30" s="6"/>
    </x:row>
    <x:row r="31" ht="21.75" customHeight="1">
      <x:c r="B31" s="17" t="s">
        <x:v>32</x:v>
      </x:c>
      <x:c r="C31" s="6" t="s">
        <x:v>37</x:v>
      </x:c>
      <x:c r="D31" s="6"/>
    </x:row>
    <x:row r="32" ht="9.75" customHeight="1"/>
    <x:row r="33" ht="21.75" customHeight="1">
      <x:c r="B33" s="9" t="s">
        <x:v>38</x:v>
      </x:c>
      <x:c r="C33" s="9"/>
      <x:c r="D33" s="9"/>
    </x:row>
    <x:row r="34" ht="19.5" customHeight="1">
      <x:c r="B34" s="5" t="s">
        <x:v>39</x:v>
      </x:c>
      <x:c r="C34" s="5"/>
      <x:c r="D34" s="5"/>
    </x:row>
    <x:row r="35" ht="19.5" customHeight="1">
      <x:c r="B35" s="4" t="s">
        <x:v>40</x:v>
      </x:c>
      <x:c r="C35" s="4"/>
      <x:c r="D35" s="4"/>
    </x:row>
    <x:row r="36" ht="19.5" customHeight="1">
      <x:c r="B36" s="5" t="s">
        <x:v>41</x:v>
      </x:c>
      <x:c r="C36" s="5"/>
      <x:c r="D36" s="5"/>
    </x:row>
    <x:row r="37" ht="19.5" customHeight="1">
      <x:c r="B37" s="4" t="s">
        <x:v>42</x:v>
      </x:c>
      <x:c r="C37" s="4"/>
      <x:c r="D37" s="4"/>
    </x:row>
    <x:row r="38" ht="19.5" customHeight="1">
      <x:c r="B38" s="5" t="s">
        <x:v>43</x:v>
      </x:c>
      <x:c r="C38" s="5"/>
      <x:c r="D38" s="5"/>
    </x:row>
    <x:row r="39" ht="19.5" customHeight="1">
      <x:c r="B39" s="4" t="s">
        <x:v>44</x:v>
      </x:c>
      <x:c r="C39" s="4"/>
      <x:c r="D39" s="4"/>
    </x:row>
    <x:row r="40" ht="19.5" customHeight="1">
      <x:c r="B40" s="5" t="s">
        <x:v>45</x:v>
      </x:c>
      <x:c r="C40" s="5"/>
      <x:c r="D40" s="5"/>
    </x:row>
    <x:row r="41" ht="19.5" customHeight="1">
      <x:c r="B41" s="4" t="s">
        <x:v>46</x:v>
      </x:c>
      <x:c r="C41" s="4"/>
      <x:c r="D41" s="4"/>
    </x:row>
  </x:sheetData>
  <x:mergeCells>
    <x:mergeCell ref="B37:D37"/>
    <x:mergeCell ref="B38:D38"/>
    <x:mergeCell ref="B39:D39"/>
    <x:mergeCell ref="B40:D40"/>
    <x:mergeCell ref="B41:D41"/>
    <x:mergeCell ref="C31:D31"/>
    <x:mergeCell ref="B33:D33"/>
    <x:mergeCell ref="B34:D34"/>
    <x:mergeCell ref="B35:D35"/>
    <x:mergeCell ref="B36:D36"/>
    <x:mergeCell ref="B26:D26"/>
    <x:mergeCell ref="C27:D27"/>
    <x:mergeCell ref="C28:D28"/>
    <x:mergeCell ref="C29:D29"/>
    <x:mergeCell ref="C30:D30"/>
    <x:mergeCell ref="C20:D20"/>
    <x:mergeCell ref="C21:D21"/>
    <x:mergeCell ref="C22:D22"/>
    <x:mergeCell ref="C23:D23"/>
    <x:mergeCell ref="C24:D24"/>
    <x:mergeCell ref="C15:D15"/>
    <x:mergeCell ref="C16:D16"/>
    <x:mergeCell ref="C17:D17"/>
    <x:mergeCell ref="C18:D18"/>
    <x:mergeCell ref="C19:D19"/>
    <x:mergeCell ref="B9:D9"/>
    <x:mergeCell ref="B10:D10"/>
    <x:mergeCell ref="B11:D11"/>
    <x:mergeCell ref="B13:D13"/>
    <x:mergeCell ref="C14:D14"/>
    <x:mergeCell ref="B2:D3"/>
    <x:mergeCell ref="B4:D4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9140625" defaultRowHeight="14.600000381469727"/>
  <x:cols>
    <x:col min="1" max="1" width="10" customWidth="1"/>
    <x:col min="2" max="2" width="42" hidden="0" customWidth="1"/>
    <x:col min="3" max="3" width="18" customWidth="1"/>
    <x:col min="4" max="4" width="16" customWidth="1"/>
    <x:col min="5" max="5" width="14" customWidth="1"/>
    <x:col min="6" max="6" width="18" customWidth="1"/>
    <x:col min="7" max="9" width="13" customWidth="1"/>
    <x:col min="10" max="10" width="15" customWidth="1"/>
    <x:col min="11" max="11" width="74" hidden="0" customWidth="1"/>
  </x:cols>
  <x:sheetData>
    <x:row r="1" ht="27.75" customHeight="1">
      <x:c r="A1" s="3" t="str">
        <x:v>IT 3310 | Week 8 Project Schedule | David Zupinski | RCHN | Proposed timeline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1.5" customHeight="1">
      <x:c r="A2" s="18" t="s">
        <x:v>9</x:v>
      </x:c>
      <x:c r="B2" s="18" t="s">
        <x:v>11</x:v>
      </x:c>
      <x:c r="C2" s="18" t="s">
        <x:v>13</x:v>
      </x:c>
      <x:c r="D2" s="18" t="s">
        <x:v>15</x:v>
      </x:c>
      <x:c r="E2" s="18" t="s">
        <x:v>17</x:v>
      </x:c>
      <x:c r="F2" s="18" t="s">
        <x:v>19</x:v>
      </x:c>
      <x:c r="G2" s="18" t="s">
        <x:v>21</x:v>
      </x:c>
      <x:c r="H2" s="18" t="s">
        <x:v>23</x:v>
      </x:c>
      <x:c r="I2" s="18" t="s">
        <x:v>47</x:v>
      </x:c>
      <x:c r="J2" s="18" t="s">
        <x:v>48</x:v>
      </x:c>
      <x:c r="K2" s="18" t="s">
        <x:v>29</x:v>
      </x:c>
    </x:row>
    <x:row r="3" ht="66" customHeight="1">
      <x:c r="A3" s="76" t="str">
        <x:v>1.0</x:v>
      </x:c>
      <x:c r="B3" s="77" t="str">
        <x:v>PLANNING AND SCOPE BASELINE</x:v>
      </x:c>
      <x:c r="C3" s="85" t="str">
        <x:v>Planning</x:v>
      </x:c>
      <x:c r="D3" s="85" t="str">
        <x:v>Phase Header</x:v>
      </x:c>
      <x:c r="E3" s="85" t="str"/>
      <x:c r="F3" s="85" t="str"/>
      <x:c r="G3" s="85"/>
      <x:c r="H3" s="85"/>
      <x:c r="I3" s="85" t="str">
        <x:f t="shared" ref="I3:I32" si="0">IF(D3="Milestone",0,IF(OR(G3="",H3=""),"",IF(H3&lt;G3,"CHECK",H3-G3+1)))</x:f>
      </x:c>
      <x:c r="J3" s="85" t="str"/>
      <x:c r="K3" s="77" t="str">
        <x:v>David Zupinski. Proposed scope based on Week 5 scenario and saved Week 7 backlog. Sponsor approval pending.</x:v>
      </x:c>
    </x:row>
    <x:row r="4" ht="66" customHeight="1">
      <x:c r="A4" s="67" t="str">
        <x:v>1.1</x:v>
      </x:c>
      <x:c r="B4" s="68" t="str">
        <x:v>Confirm shared intake, identity and access rules</x:v>
      </x:c>
      <x:c r="C4" s="86" t="str">
        <x:v>Planning</x:v>
      </x:c>
      <x:c r="D4" s="86" t="str">
        <x:v>Task</x:v>
      </x:c>
      <x:c r="E4" s="86" t="str"/>
      <x:c r="F4" s="86" t="str"/>
      <x:c r="G4" s="86" t="n">
        <x:v>1</x:v>
      </x:c>
      <x:c r="H4" s="86" t="n">
        <x:v>1</x:v>
      </x:c>
      <x:c r="I4" s="86" t="n">
        <x:f t="shared" si="0">IF(D4="Milestone",0,IF(OR(G4="",H4=""),"",IF(H4&lt;G4,"CHECK",H4-G4+1)))</x:f>
        <x:v>1</x:v>
      </x:c>
      <x:c r="J4" s="86" t="str">
        <x:v>YES</x:v>
      </x:c>
      <x:c r="K4" s="68" t="str">
        <x:v>Activity A: 5 working days. Confirm required fields, patient identity and authorized roles with clinic representatives.</x:v>
      </x:c>
    </x:row>
    <x:row r="5" ht="66" customHeight="1">
      <x:c r="A5" s="67" t="str">
        <x:v>1.2</x:v>
      </x:c>
      <x:c r="B5" s="68" t="str">
        <x:v>Document constraints and acceptance plan</x:v>
      </x:c>
      <x:c r="C5" s="86" t="str">
        <x:v>Planning</x:v>
      </x:c>
      <x:c r="D5" s="86" t="str">
        <x:v>Task</x:v>
      </x:c>
      <x:c r="E5" s="86" t="str">
        <x:v>1.1</x:v>
      </x:c>
      <x:c r="F5" s="86" t="str">
        <x:v>SS (Start-to-Start)</x:v>
      </x:c>
      <x:c r="G5" s="86" t="n">
        <x:v>1</x:v>
      </x:c>
      <x:c r="H5" s="86" t="n">
        <x:v>1</x:v>
      </x:c>
      <x:c r="I5" s="86" t="n">
        <x:f t="shared" si="0">IF(D5="Milestone",0,IF(OR(G5="",H5=""),"",IF(H5&lt;G5,"CHECK",H5-G5+1)))</x:f>
        <x:v>1</x:v>
      </x:c>
      <x:c r="J5" s="86" t="str">
        <x:v>YES</x:v>
      </x:c>
      <x:c r="K5" s="68" t="str">
        <x:v>Parallel planning with assigned analyst. Both 1.1 and 1.2 must finish before approval. Same one-week duration.</x:v>
      </x:c>
    </x:row>
    <x:row r="6" ht="66" customHeight="1">
      <x:c r="A6" s="82" t="str">
        <x:v>1.3</x:v>
      </x:c>
      <x:c r="B6" s="83" t="str">
        <x:v>Scope and delivery baseline approved</x:v>
      </x:c>
      <x:c r="C6" s="87" t="str">
        <x:v>Planning</x:v>
      </x:c>
      <x:c r="D6" s="87" t="str">
        <x:v>Milestone</x:v>
      </x:c>
      <x:c r="E6" s="87" t="str">
        <x:v>1.1</x:v>
      </x:c>
      <x:c r="F6" s="87" t="str">
        <x:v>FS (Finish-to-Start)</x:v>
      </x:c>
      <x:c r="G6" s="87" t="n">
        <x:v>1</x:v>
      </x:c>
      <x:c r="H6" s="87" t="n">
        <x:v>1</x:v>
      </x:c>
      <x:c r="I6" s="87" t="n">
        <x:f t="shared" si="0">IF(D6="Milestone",0,IF(OR(G6="",H6=""),"",IF(H6&lt;G6,"CHECK",H6-G6+1)))</x:f>
        <x:v>0</x:v>
      </x:c>
      <x:c r="J6" s="87" t="str"/>
      <x:c r="K6" s="83" t="str">
        <x:v>End of Week 1, after 1.1 AND 1.2. Sponsor approval recorded; targets below remain estimates until this event.</x:v>
      </x:c>
    </x:row>
    <x:row r="7" ht="66" customHeight="1">
      <x:c r="A7" s="76" t="str">
        <x:v>2.0</x:v>
      </x:c>
      <x:c r="B7" s="77" t="str">
        <x:v>INTAKE AND SCHEDULING SOLUTION</x:v>
      </x:c>
      <x:c r="C7" s="85" t="str">
        <x:v>Development</x:v>
      </x:c>
      <x:c r="D7" s="85" t="str">
        <x:v>Phase Header</x:v>
      </x:c>
      <x:c r="E7" s="85" t="str"/>
      <x:c r="F7" s="85" t="str"/>
      <x:c r="G7" s="85"/>
      <x:c r="H7" s="85"/>
      <x:c r="I7" s="85" t="str">
        <x:f t="shared" si="0">IF(D7="Milestone",0,IF(OR(G7="",H7=""),"",IF(H7&lt;G7,"CHECK",H7-G7+1)))</x:f>
      </x:c>
      <x:c r="J7" s="85" t="str"/>
      <x:c r="K7" s="77" t="str">
        <x:v>Stories 1-5. Story 6 patient portal is deferred. Billing integration, dashboard and mobile app require a separate scope decision.</x:v>
      </x:c>
    </x:row>
    <x:row r="8" ht="66" customHeight="1">
      <x:c r="A8" s="67" t="str">
        <x:v>2.1</x:v>
      </x:c>
      <x:c r="B8" s="68" t="str">
        <x:v>Configure intake and retained-data workflow</x:v>
      </x:c>
      <x:c r="C8" s="86" t="str">
        <x:v>Development</x:v>
      </x:c>
      <x:c r="D8" s="86" t="str">
        <x:v>Task</x:v>
      </x:c>
      <x:c r="E8" s="86" t="str">
        <x:v>1.3</x:v>
      </x:c>
      <x:c r="F8" s="86" t="str">
        <x:v>FS (Finish-to-Start)</x:v>
      </x:c>
      <x:c r="G8" s="86" t="n">
        <x:v>2</x:v>
      </x:c>
      <x:c r="H8" s="86" t="n">
        <x:v>3</x:v>
      </x:c>
      <x:c r="I8" s="86" t="n">
        <x:f t="shared" si="0">IF(D8="Milestone",0,IF(OR(G8="",H8=""),"",IF(H8&lt;G8,"CHECK",H8-G8+1)))</x:f>
        <x:v>2</x:v>
      </x:c>
      <x:c r="J8" s="86" t="str">
        <x:v>YES</x:v>
      </x:c>
      <x:c r="K8" s="68" t="str">
        <x:v>Activity B: 10 working days. Stories 1,4,5 include same-patient retention, access controls and corrective field guidance.</x:v>
      </x:c>
    </x:row>
    <x:row r="9" ht="66" customHeight="1">
      <x:c r="A9" s="67" t="str">
        <x:v>2.2</x:v>
      </x:c>
      <x:c r="B9" s="68" t="str">
        <x:v>Configure clinic/date availability</x:v>
      </x:c>
      <x:c r="C9" s="86" t="str">
        <x:v>Development</x:v>
      </x:c>
      <x:c r="D9" s="86" t="str">
        <x:v>Task</x:v>
      </x:c>
      <x:c r="E9" s="86" t="str">
        <x:v>1.3</x:v>
      </x:c>
      <x:c r="F9" s="86" t="str">
        <x:v>FS (Finish-to-Start)</x:v>
      </x:c>
      <x:c r="G9" s="86" t="n">
        <x:v>2</x:v>
      </x:c>
      <x:c r="H9" s="86" t="n">
        <x:v>2</x:v>
      </x:c>
      <x:c r="I9" s="86" t="n">
        <x:f t="shared" si="0">IF(D9="Milestone",0,IF(OR(G9="",H9=""),"",IF(H9&lt;G9,"CHECK",H9-G9+1)))</x:f>
        <x:v>1</x:v>
      </x:c>
      <x:c r="J9" s="86" t="str"/>
      <x:c r="K9" s="68" t="str">
        <x:v>Activity C: 5 working days; one week of float before 2.3. Includes explicit empty and load-error states. Separate specialist assumed.</x:v>
      </x:c>
    </x:row>
    <x:row r="10" ht="66" customHeight="1">
      <x:c r="A10" s="67" t="str">
        <x:v>2.3.1</x:v>
      </x:c>
      <x:c r="B10" s="68" t="str">
        <x:v>Integrate booking and test conflict handling</x:v>
      </x:c>
      <x:c r="C10" s="86" t="str">
        <x:v>Development</x:v>
      </x:c>
      <x:c r="D10" s="86" t="str">
        <x:v>Task</x:v>
      </x:c>
      <x:c r="E10" s="86" t="str">
        <x:v>2.1</x:v>
      </x:c>
      <x:c r="F10" s="86" t="str">
        <x:v>FS (Finish-to-Start)</x:v>
      </x:c>
      <x:c r="G10" s="86" t="n">
        <x:v>4</x:v>
      </x:c>
      <x:c r="H10" s="86" t="n">
        <x:v>5</x:v>
      </x:c>
      <x:c r="I10" s="86" t="n">
        <x:f t="shared" si="0">IF(D10="Milestone",0,IF(OR(G10="",H10=""),"",IF(H10&lt;G10,"CHECK",H10-G10+1)))</x:f>
        <x:v>2</x:v>
      </x:c>
      <x:c r="J10" s="86" t="str">
        <x:v>YES</x:v>
      </x:c>
      <x:c r="K10" s="68" t="str">
        <x:v>Activity D: 10 working days. Requires BOTH 2.1 and 2.2. Verify one booking per slot and truthful success/failure results.</x:v>
      </x:c>
    </x:row>
    <x:row r="11" ht="66" customHeight="1">
      <x:c r="A11" s="67" t="str">
        <x:v>2.3.2</x:v>
      </x:c>
      <x:c r="B11" s="68" t="str">
        <x:v>Run cross-clinic acceptance tests</x:v>
      </x:c>
      <x:c r="C11" s="86" t="str">
        <x:v>Development</x:v>
      </x:c>
      <x:c r="D11" s="86" t="str">
        <x:v>Task</x:v>
      </x:c>
      <x:c r="E11" s="86" t="str">
        <x:v>2.3.1</x:v>
      </x:c>
      <x:c r="F11" s="86" t="str">
        <x:v>FS (Finish-to-Start)</x:v>
      </x:c>
      <x:c r="G11" s="86" t="n">
        <x:v>6</x:v>
      </x:c>
      <x:c r="H11" s="86" t="n">
        <x:v>6</x:v>
      </x:c>
      <x:c r="I11" s="86" t="n">
        <x:f t="shared" si="0">IF(D11="Milestone",0,IF(OR(G11="",H11=""),"",IF(H11&lt;G11,"CHECK",H11-G11+1)))</x:f>
        <x:v>1</x:v>
      </x:c>
      <x:c r="J11" s="86" t="str">
        <x:v>YES</x:v>
      </x:c>
      <x:c r="K11" s="68" t="str">
        <x:v>Designated RCHN representatives execute acceptance cases across all six clinic configurations. Resolve release-blocking defects.</x:v>
      </x:c>
    </x:row>
    <x:row r="12" ht="66" customHeight="1">
      <x:c r="A12" s="82" t="str">
        <x:v>2.3.3</x:v>
      </x:c>
      <x:c r="B12" s="83" t="str">
        <x:v>Core solution accepted for pilot</x:v>
      </x:c>
      <x:c r="C12" s="87" t="str">
        <x:v>Development</x:v>
      </x:c>
      <x:c r="D12" s="87" t="str">
        <x:v>Milestone</x:v>
      </x:c>
      <x:c r="E12" s="87" t="str">
        <x:v>2.3.2</x:v>
      </x:c>
      <x:c r="F12" s="87" t="str">
        <x:v>FS (Finish-to-Start)</x:v>
      </x:c>
      <x:c r="G12" s="87" t="n">
        <x:v>6</x:v>
      </x:c>
      <x:c r="H12" s="87" t="n">
        <x:v>6</x:v>
      </x:c>
      <x:c r="I12" s="87" t="n">
        <x:f t="shared" si="0">IF(D12="Milestone",0,IF(OR(G12="",H12=""),"",IF(H12&lt;G12,"CHECK",H12-G12+1)))</x:f>
        <x:v>0</x:v>
      </x:c>
      <x:c r="J12" s="87" t="str"/>
      <x:c r="K12" s="83" t="str">
        <x:v>End Week 6. Signed UAT record, required-field consistency, authorized retention, availability and concurrent-booking tests passed.</x:v>
      </x:c>
    </x:row>
    <x:row r="13" ht="66" customHeight="1">
      <x:c r="A13" s="76" t="str">
        <x:v>3.0</x:v>
      </x:c>
      <x:c r="B13" s="77" t="str">
        <x:v>CLINIC READINESS AND ROLLOUT</x:v>
      </x:c>
      <x:c r="C13" s="85" t="str">
        <x:v>Deployment</x:v>
      </x:c>
      <x:c r="D13" s="85" t="str">
        <x:v>Phase Header</x:v>
      </x:c>
      <x:c r="E13" s="85" t="str"/>
      <x:c r="F13" s="85" t="str"/>
      <x:c r="G13" s="85"/>
      <x:c r="H13" s="85"/>
      <x:c r="I13" s="85" t="str">
        <x:f t="shared" si="0">IF(D13="Milestone",0,IF(OR(G13="",H13=""),"",IF(H13&lt;G13,"CHECK",H13-G13+1)))</x:f>
      </x:c>
      <x:c r="J13" s="85" t="str"/>
      <x:c r="K13" s="77" t="str">
        <x:v>Staff training covers all six clinics. Pilot and observation are proposed delivery assumptions, not prior approved commitments.</x:v>
      </x:c>
    </x:row>
    <x:row r="14" ht="66" customHeight="1">
      <x:c r="A14" s="67" t="str">
        <x:v>3.1.1</x:v>
      </x:c>
      <x:c r="B14" s="68" t="str">
        <x:v>Prepare role-based training materials</x:v>
      </x:c>
      <x:c r="C14" s="86" t="str">
        <x:v>Deployment</x:v>
      </x:c>
      <x:c r="D14" s="86" t="str">
        <x:v>Task</x:v>
      </x:c>
      <x:c r="E14" s="86" t="str">
        <x:v>2.3.1</x:v>
      </x:c>
      <x:c r="F14" s="86" t="str">
        <x:v>SS (Start-to-Start)</x:v>
      </x:c>
      <x:c r="G14" s="86" t="n">
        <x:v>4</x:v>
      </x:c>
      <x:c r="H14" s="86" t="n">
        <x:v>5</x:v>
      </x:c>
      <x:c r="I14" s="86" t="n">
        <x:f t="shared" si="0">IF(D14="Milestone",0,IF(OR(G14="",H14=""),"",IF(H14&lt;G14,"CHECK",H14-G14+1)))</x:f>
        <x:v>2</x:v>
      </x:c>
      <x:c r="J14" s="86" t="str"/>
      <x:c r="K14" s="68" t="str">
        <x:v>Can start with integration using stable workflows. Five days float through Week 6 before pilot training; update after UAT.</x:v>
      </x:c>
    </x:row>
    <x:row r="15" ht="66" customHeight="1">
      <x:c r="A15" s="67" t="str">
        <x:v>3.1.2</x:v>
      </x:c>
      <x:c r="B15" s="68" t="str">
        <x:v>Train designated pilot-clinic staff</x:v>
      </x:c>
      <x:c r="C15" s="86" t="str">
        <x:v>Deployment</x:v>
      </x:c>
      <x:c r="D15" s="86" t="str">
        <x:v>Task</x:v>
      </x:c>
      <x:c r="E15" s="86" t="str">
        <x:v>2.3.3</x:v>
      </x:c>
      <x:c r="F15" s="86" t="str">
        <x:v>FS (Finish-to-Start)</x:v>
      </x:c>
      <x:c r="G15" s="86" t="n">
        <x:v>7</x:v>
      </x:c>
      <x:c r="H15" s="86" t="n">
        <x:v>7</x:v>
      </x:c>
      <x:c r="I15" s="86" t="n">
        <x:f t="shared" si="0">IF(D15="Milestone",0,IF(OR(G15="",H15=""),"",IF(H15&lt;G15,"CHECK",H15-G15+1)))</x:f>
        <x:v>1</x:v>
      </x:c>
      <x:c r="J15" s="86" t="str">
        <x:v>YES</x:v>
      </x:c>
      <x:c r="K15" s="68" t="str">
        <x:v>Also requires 3.1.1. Attendance and demonstrated intake-to-booking competency recorded before pilot launch.</x:v>
      </x:c>
    </x:row>
    <x:row r="16" ht="66" customHeight="1">
      <x:c r="A16" s="82" t="str">
        <x:v>3.2.1</x:v>
      </x:c>
      <x:c r="B16" s="83" t="str">
        <x:v>Pilot clinic launched</x:v>
      </x:c>
      <x:c r="C16" s="87" t="str">
        <x:v>Deployment</x:v>
      </x:c>
      <x:c r="D16" s="87" t="str">
        <x:v>Milestone</x:v>
      </x:c>
      <x:c r="E16" s="87" t="str">
        <x:v>3.1.2</x:v>
      </x:c>
      <x:c r="F16" s="87" t="str">
        <x:v>FS (Finish-to-Start)</x:v>
      </x:c>
      <x:c r="G16" s="87" t="n">
        <x:v>7</x:v>
      </x:c>
      <x:c r="H16" s="87" t="n">
        <x:v>7</x:v>
      </x:c>
      <x:c r="I16" s="87" t="n">
        <x:f t="shared" si="0">IF(D16="Milestone",0,IF(OR(G16="",H16=""),"",IF(H16&lt;G16,"CHECK",H16-G16+1)))</x:f>
        <x:v>0</x:v>
      </x:c>
      <x:c r="J16" s="87" t="str"/>
      <x:c r="K16" s="83" t="str">
        <x:v>End Week 7. Pilot smoke test, support contacts and rollback readiness accepted.</x:v>
      </x:c>
    </x:row>
    <x:row r="17" ht="66" customHeight="1">
      <x:c r="A17" s="67" t="str">
        <x:v>3.2.2</x:v>
      </x:c>
      <x:c r="B17" s="68" t="str">
        <x:v>Observe pilot and resolve rollout blockers</x:v>
      </x:c>
      <x:c r="C17" s="86" t="str">
        <x:v>Deployment</x:v>
      </x:c>
      <x:c r="D17" s="86" t="str">
        <x:v>Task</x:v>
      </x:c>
      <x:c r="E17" s="86" t="str">
        <x:v>3.2.1</x:v>
      </x:c>
      <x:c r="F17" s="86" t="str">
        <x:v>FS (Finish-to-Start)</x:v>
      </x:c>
      <x:c r="G17" s="86" t="n">
        <x:v>8</x:v>
      </x:c>
      <x:c r="H17" s="86" t="n">
        <x:v>12</x:v>
      </x:c>
      <x:c r="I17" s="86" t="n">
        <x:f t="shared" si="0">IF(D17="Milestone",0,IF(OR(G17="",H17=""),"",IF(H17&lt;G17,"CHECK",H17-G17+1)))</x:f>
        <x:v>5</x:v>
      </x:c>
      <x:c r="J17" s="86" t="str">
        <x:v>YES</x:v>
      </x:c>
      <x:c r="K17" s="68" t="str">
        <x:v>Five-week window = 35 calendar days, reserving at least 30 for observation. Review issues and approve wider rollout at end Week 12.</x:v>
      </x:c>
    </x:row>
    <x:row r="18" ht="66" customHeight="1">
      <x:c r="A18" s="67" t="str">
        <x:v>3.1.3</x:v>
      </x:c>
      <x:c r="B18" s="68" t="str">
        <x:v>Train staff at remaining five clinics</x:v>
      </x:c>
      <x:c r="C18" s="86" t="str">
        <x:v>Deployment</x:v>
      </x:c>
      <x:c r="D18" s="86" t="str">
        <x:v>Task</x:v>
      </x:c>
      <x:c r="E18" s="86" t="str">
        <x:v>3.2.1</x:v>
      </x:c>
      <x:c r="F18" s="86" t="str">
        <x:v>FS (Finish-to-Start)</x:v>
      </x:c>
      <x:c r="G18" s="86" t="n">
        <x:v>10</x:v>
      </x:c>
      <x:c r="H18" s="86" t="n">
        <x:v>12</x:v>
      </x:c>
      <x:c r="I18" s="86" t="n">
        <x:f t="shared" si="0">IF(D18="Milestone",0,IF(OR(G18="",H18=""),"",IF(H18&lt;G18,"CHECK",H18-G18+1)))</x:f>
        <x:v>3</x:v>
      </x:c>
      <x:c r="J18" s="86" t="str"/>
      <x:c r="K18" s="68" t="str">
        <x:v>Intentional two-week wait after pilot launch to incorporate early feedback. Three weeks training; can move to Weeks 8-10 if capacity permits.</x:v>
      </x:c>
    </x:row>
    <x:row r="19" ht="66" customHeight="1">
      <x:c r="A19" s="67" t="str">
        <x:v>3.3.1</x:v>
      </x:c>
      <x:c r="B19" s="68" t="str">
        <x:v>Deploy and verify remaining five clinics</x:v>
      </x:c>
      <x:c r="C19" s="86" t="str">
        <x:v>Deployment</x:v>
      </x:c>
      <x:c r="D19" s="86" t="str">
        <x:v>Task</x:v>
      </x:c>
      <x:c r="E19" s="86" t="str">
        <x:v>3.2.2</x:v>
      </x:c>
      <x:c r="F19" s="86" t="str">
        <x:v>FS (Finish-to-Start)</x:v>
      </x:c>
      <x:c r="G19" s="86" t="n">
        <x:v>13</x:v>
      </x:c>
      <x:c r="H19" s="86" t="n">
        <x:v>13</x:v>
      </x:c>
      <x:c r="I19" s="86" t="n">
        <x:f t="shared" si="0">IF(D19="Milestone",0,IF(OR(G19="",H19=""),"",IF(H19&lt;G19,"CHECK",H19-G19+1)))</x:f>
        <x:v>1</x:v>
      </x:c>
      <x:c r="J19" s="86" t="str">
        <x:v>YES</x:v>
      </x:c>
      <x:c r="K19" s="68" t="str">
        <x:v>Requires BOTH pilot review 3.2.2 and training 3.1.3. Perform intake-to-booking smoke test at each clinic.</x:v>
      </x:c>
    </x:row>
    <x:row r="20" ht="66" customHeight="1">
      <x:c r="A20" s="82" t="str">
        <x:v>3.3.2</x:v>
      </x:c>
      <x:c r="B20" s="83" t="str">
        <x:v>All six clinics live and verified</x:v>
      </x:c>
      <x:c r="C20" s="87" t="str">
        <x:v>Deployment</x:v>
      </x:c>
      <x:c r="D20" s="87" t="str">
        <x:v>Milestone</x:v>
      </x:c>
      <x:c r="E20" s="87" t="str">
        <x:v>3.3.1</x:v>
      </x:c>
      <x:c r="F20" s="87" t="str">
        <x:v>FS (Finish-to-Start)</x:v>
      </x:c>
      <x:c r="G20" s="87" t="n">
        <x:v>13</x:v>
      </x:c>
      <x:c r="H20" s="87" t="n">
        <x:v>13</x:v>
      </x:c>
      <x:c r="I20" s="87" t="n">
        <x:f t="shared" si="0">IF(D20="Milestone",0,IF(OR(G20="",H20=""),"",IF(H20&lt;G20,"CHECK",H20-G20+1)))</x:f>
        <x:v>0</x:v>
      </x:c>
      <x:c r="J20" s="87" t="str"/>
      <x:c r="K20" s="83" t="str">
        <x:v>End Week 13. Signed rollout checklist, training records, six clinic smoke tests and support/rollback arrangements documented.</x:v>
      </x:c>
    </x:row>
    <x:row r="21" ht="66" customHeight="1">
      <x:c r="A21" s="76" t="str">
        <x:v>4.0</x:v>
      </x:c>
      <x:c r="B21" s="77" t="str">
        <x:v>POST-LAUNCH SUPPORT AND HANDOFF</x:v>
      </x:c>
      <x:c r="C21" s="85" t="str">
        <x:v>Closure</x:v>
      </x:c>
      <x:c r="D21" s="85" t="str">
        <x:v>Phase Header</x:v>
      </x:c>
      <x:c r="E21" s="85" t="str"/>
      <x:c r="F21" s="85" t="str"/>
      <x:c r="G21" s="85"/>
      <x:c r="H21" s="85"/>
      <x:c r="I21" s="85" t="str">
        <x:f t="shared" si="0">IF(D21="Milestone",0,IF(OR(G21="",H21=""),"",IF(H21&lt;G21,"CHECK",H21-G21+1)))</x:f>
      </x:c>
      <x:c r="J21" s="85" t="str"/>
      <x:c r="K21" s="77" t="str">
        <x:v>Support covers the complete rollout. The support duration is a recommended Week 5 inclusion requiring approval.</x:v>
      </x:c>
    </x:row>
    <x:row r="22" ht="66" customHeight="1">
      <x:c r="A22" s="67" t="str">
        <x:v>4.1</x:v>
      </x:c>
      <x:c r="B22" s="68" t="str">
        <x:v>Provide 90-day rollout support</x:v>
      </x:c>
      <x:c r="C22" s="86" t="str">
        <x:v>Closure</x:v>
      </x:c>
      <x:c r="D22" s="86" t="str">
        <x:v>Task</x:v>
      </x:c>
      <x:c r="E22" s="86" t="str">
        <x:v>3.3.2</x:v>
      </x:c>
      <x:c r="F22" s="86" t="str">
        <x:v>FS (Finish-to-Start)</x:v>
      </x:c>
      <x:c r="G22" s="86" t="n">
        <x:v>14</x:v>
      </x:c>
      <x:c r="H22" s="86" t="n">
        <x:v>26</x:v>
      </x:c>
      <x:c r="I22" s="86" t="n">
        <x:f t="shared" si="0">IF(D22="Milestone",0,IF(OR(G22="",H22=""),"",IF(H22&lt;G22,"CHECK",H22-G22+1)))</x:f>
        <x:v>13</x:v>
      </x:c>
      <x:c r="J22" s="86" t="str">
        <x:v>YES</x:v>
      </x:c>
      <x:c r="K22" s="68" t="str">
        <x:v>13 weeks = 91 calendar days. Track and resolve issues; confirm exact 90-day end date once calendar start is approved.</x:v>
      </x:c>
    </x:row>
    <x:row r="23" ht="66" customHeight="1">
      <x:c r="A23" s="67" t="str">
        <x:v>4.2</x:v>
      </x:c>
      <x:c r="B23" s="68" t="str">
        <x:v>Prepare operating guides and ownership transfer</x:v>
      </x:c>
      <x:c r="C23" s="86" t="str">
        <x:v>Closure</x:v>
      </x:c>
      <x:c r="D23" s="86" t="str">
        <x:v>Task</x:v>
      </x:c>
      <x:c r="E23" s="86" t="str">
        <x:v>4.1</x:v>
      </x:c>
      <x:c r="F23" s="86" t="str">
        <x:v>SS (Start-to-Start)</x:v>
      </x:c>
      <x:c r="G23" s="86" t="n">
        <x:v>25</x:v>
      </x:c>
      <x:c r="H23" s="86" t="n">
        <x:v>26</x:v>
      </x:c>
      <x:c r="I23" s="86" t="n">
        <x:f t="shared" si="0">IF(D23="Milestone",0,IF(OR(G23="",H23=""),"",IF(H23&lt;G23,"CHECK",H23-G23+1)))</x:f>
        <x:v>2</x:v>
      </x:c>
      <x:c r="J23" s="86" t="str"/>
      <x:c r="K23" s="68" t="str">
        <x:v>Planned late start to incorporate support findings. Two-week task has 11 weeks flexibility; named service owner accepts guides and open issues.</x:v>
      </x:c>
    </x:row>
    <x:row r="24" ht="66" customHeight="1">
      <x:c r="A24" s="67" t="str">
        <x:v>4.3.1</x:v>
      </x:c>
      <x:c r="B24" s="68" t="str">
        <x:v>Document lessons learned and closure evidence</x:v>
      </x:c>
      <x:c r="C24" s="86" t="str">
        <x:v>Closure</x:v>
      </x:c>
      <x:c r="D24" s="86" t="str">
        <x:v>Task</x:v>
      </x:c>
      <x:c r="E24" s="86" t="str">
        <x:v>4.1</x:v>
      </x:c>
      <x:c r="F24" s="86" t="str">
        <x:v>SS (Start-to-Start)</x:v>
      </x:c>
      <x:c r="G24" s="86" t="n">
        <x:v>25</x:v>
      </x:c>
      <x:c r="H24" s="86" t="n">
        <x:v>26</x:v>
      </x:c>
      <x:c r="I24" s="86" t="n">
        <x:f t="shared" si="0">IF(D24="Milestone",0,IF(OR(G24="",H24=""),"",IF(H24&lt;G24,"CHECK",H24-G24+1)))</x:f>
        <x:v>2</x:v>
      </x:c>
      <x:c r="J24" s="86" t="str"/>
      <x:c r="K24" s="68" t="str">
        <x:v>Parallel with handoff preparation. Review issues, decisions and lessons. Same planned window and float as 4.2.</x:v>
      </x:c>
    </x:row>
    <x:row r="25" ht="66" customHeight="1">
      <x:c r="A25" s="82" t="str">
        <x:v>4.3.2</x:v>
      </x:c>
      <x:c r="B25" s="83" t="str">
        <x:v>Final handoff and closure accepted</x:v>
      </x:c>
      <x:c r="C25" s="87" t="str">
        <x:v>Closure</x:v>
      </x:c>
      <x:c r="D25" s="87" t="str">
        <x:v>Milestone</x:v>
      </x:c>
      <x:c r="E25" s="87" t="str">
        <x:v>4.1</x:v>
      </x:c>
      <x:c r="F25" s="87" t="str">
        <x:v>FS (Finish-to-Start)</x:v>
      </x:c>
      <x:c r="G25" s="87" t="n">
        <x:v>26</x:v>
      </x:c>
      <x:c r="H25" s="87" t="n">
        <x:v>26</x:v>
      </x:c>
      <x:c r="I25" s="87" t="n">
        <x:f t="shared" si="0">IF(D25="Milestone",0,IF(OR(G25="",H25=""),"",IF(H25&lt;G25,"CHECK",H25-G25+1)))</x:f>
        <x:v>0</x:v>
      </x:c>
      <x:c r="J25" s="87" t="str"/>
      <x:c r="K25" s="83" t="str">
        <x:v>End Week 26 after 4.1,4.2 AND 4.3.1. Sponsor accepts handoff, service owner and disposition of remaining issues.</x:v>
      </x:c>
    </x:row>
    <x:row r="26" ht="18" customHeight="1">
      <x:c r="A26" s="67"/>
      <x:c r="B26" s="68"/>
      <x:c r="C26" s="69"/>
      <x:c r="D26" s="69"/>
      <x:c r="E26" s="69"/>
      <x:c r="F26" s="69"/>
      <x:c r="G26" s="69"/>
      <x:c r="H26" s="69"/>
      <x:c r="I26" s="69" t="str">
        <x:f t="shared" si="0">IF(D26="Milestone",0,IF(OR(G26="",H26=""),"",IF(H26&lt;G26,"CHECK",H26-G26+1)))</x:f>
      </x:c>
      <x:c r="J26" s="69"/>
      <x:c r="K26" s="68"/>
    </x:row>
    <x:row r="27" ht="18" customHeight="1">
      <x:c r="A27" s="67"/>
      <x:c r="B27" s="68"/>
      <x:c r="C27" s="69"/>
      <x:c r="D27" s="69"/>
      <x:c r="E27" s="69"/>
      <x:c r="F27" s="69"/>
      <x:c r="G27" s="69"/>
      <x:c r="H27" s="69"/>
      <x:c r="I27" s="69" t="str">
        <x:f t="shared" si="0">IF(D27="Milestone",0,IF(OR(G27="",H27=""),"",IF(H27&lt;G27,"CHECK",H27-G27+1)))</x:f>
      </x:c>
      <x:c r="J27" s="69"/>
      <x:c r="K27" s="68"/>
    </x:row>
    <x:row r="28" ht="18" customHeight="1">
      <x:c r="A28" s="67"/>
      <x:c r="B28" s="68"/>
      <x:c r="C28" s="69"/>
      <x:c r="D28" s="69"/>
      <x:c r="E28" s="69"/>
      <x:c r="F28" s="69"/>
      <x:c r="G28" s="69"/>
      <x:c r="H28" s="69"/>
      <x:c r="I28" s="69" t="str">
        <x:f t="shared" si="0">IF(D28="Milestone",0,IF(OR(G28="",H28=""),"",IF(H28&lt;G28,"CHECK",H28-G28+1)))</x:f>
      </x:c>
      <x:c r="J28" s="69"/>
      <x:c r="K28" s="68"/>
    </x:row>
    <x:row r="29" ht="18" customHeight="1">
      <x:c r="A29" s="67"/>
      <x:c r="B29" s="68"/>
      <x:c r="C29" s="69"/>
      <x:c r="D29" s="69"/>
      <x:c r="E29" s="69"/>
      <x:c r="F29" s="69"/>
      <x:c r="G29" s="69"/>
      <x:c r="H29" s="69"/>
      <x:c r="I29" s="69" t="str">
        <x:f t="shared" si="0">IF(D29="Milestone",0,IF(OR(G29="",H29=""),"",IF(H29&lt;G29,"CHECK",H29-G29+1)))</x:f>
      </x:c>
      <x:c r="J29" s="69"/>
      <x:c r="K29" s="68"/>
    </x:row>
    <x:row r="30" ht="18" customHeight="1">
      <x:c r="A30" s="67"/>
      <x:c r="B30" s="68"/>
      <x:c r="C30" s="69"/>
      <x:c r="D30" s="69"/>
      <x:c r="E30" s="69"/>
      <x:c r="F30" s="69"/>
      <x:c r="G30" s="69"/>
      <x:c r="H30" s="69"/>
      <x:c r="I30" s="69" t="str">
        <x:f t="shared" si="0">IF(D30="Milestone",0,IF(OR(G30="",H30=""),"",IF(H30&lt;G30,"CHECK",H30-G30+1)))</x:f>
      </x:c>
      <x:c r="J30" s="69"/>
      <x:c r="K30" s="68"/>
    </x:row>
    <x:row r="31" ht="18" customHeight="1">
      <x:c r="A31" s="67"/>
      <x:c r="B31" s="68"/>
      <x:c r="C31" s="69"/>
      <x:c r="D31" s="69"/>
      <x:c r="E31" s="69"/>
      <x:c r="F31" s="69"/>
      <x:c r="G31" s="69"/>
      <x:c r="H31" s="69"/>
      <x:c r="I31" s="69" t="str">
        <x:f t="shared" si="0">IF(D31="Milestone",0,IF(OR(G31="",H31=""),"",IF(H31&lt;G31,"CHECK",H31-G31+1)))</x:f>
      </x:c>
      <x:c r="J31" s="69"/>
      <x:c r="K31" s="68"/>
    </x:row>
    <x:row r="32" ht="18" customHeight="1">
      <x:c r="A32" s="67"/>
      <x:c r="B32" s="68"/>
      <x:c r="C32" s="69"/>
      <x:c r="D32" s="69"/>
      <x:c r="E32" s="69"/>
      <x:c r="F32" s="69"/>
      <x:c r="G32" s="69"/>
      <x:c r="H32" s="69"/>
      <x:c r="I32" s="69" t="str">
        <x:f t="shared" si="0">IF(D32="Milestone",0,IF(OR(G32="",H32=""),"",IF(H32&lt;G32,"CHECK",H32-G32+1)))</x:f>
      </x:c>
      <x:c r="J32" s="69"/>
      <x:c r="K32" s="68"/>
    </x:row>
    <x:row r="35" ht="21.75" customHeight="1">
      <x:c r="A35" s="9" t="str">
        <x:v>Total Tasks</x:v>
      </x:c>
      <x:c r="B35" s="9"/>
      <x:c r="C35" s="9"/>
      <x:c r="D35" s="9"/>
      <x:c r="E35" s="9" t="n">
        <x:f>COUNTIF(D3:D32,"Task")</x:f>
        <x:v>14</x:v>
      </x:c>
      <x:c r="F35" s="9"/>
      <x:c r="G35" s="9"/>
      <x:c r="H35" s="9"/>
      <x:c r="I35" s="9"/>
      <x:c r="J35" s="9"/>
      <x:c r="K35" s="9"/>
    </x:row>
    <x:row r="36" ht="18" customHeight="1">
      <x:c r="A36" s="2" t="str">
        <x:v>Total Milestones</x:v>
      </x:c>
      <x:c r="B36" s="2"/>
      <x:c r="C36" s="2"/>
      <x:c r="D36" s="2"/>
      <x:c r="E36" s="1" t="n">
        <x:f>COUNTIF(D3:D32,"Milestone")</x:f>
        <x:v>5</x:v>
      </x:c>
      <x:c r="F36" s="1"/>
      <x:c r="G36" s="1"/>
      <x:c r="H36" s="1"/>
      <x:c r="I36" s="1"/>
      <x:c r="J36" s="1"/>
      <x:c r="K36" s="1"/>
    </x:row>
    <x:row r="37" ht="18" customHeight="1">
      <x:c r="A37" s="2" t="str">
        <x:v>Critical Path Tasks</x:v>
      </x:c>
      <x:c r="B37" s="2"/>
      <x:c r="C37" s="2"/>
      <x:c r="D37" s="2"/>
      <x:c r="E37" s="1" t="n">
        <x:f>COUNTIF(J3:J32,"YES")</x:f>
        <x:v>9</x:v>
      </x:c>
      <x:c r="F37" s="1"/>
      <x:c r="G37" s="1"/>
      <x:c r="H37" s="1"/>
      <x:c r="I37" s="1"/>
      <x:c r="J37" s="1"/>
      <x:c r="K37" s="1"/>
    </x:row>
    <x:row r="38" ht="18" customHeight="1">
      <x:c r="A38" s="2" t="str">
        <x:v>Project Start Week</x:v>
      </x:c>
      <x:c r="B38" s="2"/>
      <x:c r="C38" s="2"/>
      <x:c r="D38" s="2"/>
      <x:c r="E38" s="1" t="n">
        <x:f>MIN(G4:G32)</x:f>
        <x:v>1</x:v>
      </x:c>
      <x:c r="F38" s="1"/>
      <x:c r="G38" s="1"/>
      <x:c r="H38" s="1"/>
      <x:c r="I38" s="1"/>
      <x:c r="J38" s="1"/>
      <x:c r="K38" s="1"/>
    </x:row>
    <x:row r="39" ht="18" customHeight="1">
      <x:c r="A39" s="2" t="str">
        <x:v>Project End Week</x:v>
      </x:c>
      <x:c r="B39" s="2"/>
      <x:c r="C39" s="2"/>
      <x:c r="D39" s="2"/>
      <x:c r="E39" s="1" t="n">
        <x:f>MAX(H4:H32)</x:f>
        <x:v>26</x:v>
      </x:c>
      <x:c r="F39" s="1"/>
      <x:c r="G39" s="1"/>
      <x:c r="H39" s="1"/>
      <x:c r="I39" s="1"/>
      <x:c r="J39" s="1"/>
      <x:c r="K39" s="1"/>
    </x:row>
    <x:row r="40" ht="18" customHeight="1">
      <x:c r="A40" s="2" t="str">
        <x:v>Latest End Week (check)</x:v>
      </x:c>
      <x:c r="B40" s="2"/>
      <x:c r="C40" s="2"/>
      <x:c r="D40" s="2"/>
      <x:c r="E40" s="1" t="n">
        <x:f>IF(COUNT(H3:H32)=0,"",MAX(H3:H32))</x:f>
        <x:v>26</x:v>
      </x:c>
      <x:c r="F40" s="1"/>
      <x:c r="G40" s="1"/>
      <x:c r="H40" s="1"/>
      <x:c r="I40" s="1"/>
      <x:c r="J40" s="1"/>
      <x:c r="K40" s="1"/>
    </x:row>
  </x:sheetData>
  <x:mergeCells>
    <x:mergeCell ref="A38:D38"/>
    <x:mergeCell ref="E38:K38"/>
    <x:mergeCell ref="A39:D39"/>
    <x:mergeCell ref="E39:K39"/>
    <x:mergeCell ref="A40:D40"/>
    <x:mergeCell ref="E40:K40"/>
    <x:mergeCell ref="A1:K1"/>
    <x:mergeCell ref="A35:K35"/>
    <x:mergeCell ref="A36:D36"/>
    <x:mergeCell ref="E36:K36"/>
    <x:mergeCell ref="A37:D37"/>
    <x:mergeCell ref="E37:K37"/>
  </x:mergeCells>
  <x:conditionalFormatting sqref="A3:K43">
    <x:cfRule type="expression" dxfId="2" priority="2">
      <x:formula>$J3="YES"</x:formula>
    </x:cfRule>
  </x:conditionalFormatting>
  <x:conditionalFormatting sqref="H3:H32">
    <x:cfRule type="expression" dxfId="1" priority="13">
      <x:formula>AND(ISNUMBER($G3),ISNUMBER($H3),$H3&lt;$G3)</x:formula>
    </x:cfRule>
  </x:conditionalFormatting>
  <x:dataValidations count="3">
    <x:dataValidation type="list" allowBlank="1" showErrorMessage="1" errorTitle="Invalid Entry" error="Please select from the dropdown: Phase Header, Task, or Milestone" sqref="D3:D32">
      <x:formula1>"Phase Header,Task,Milestone"</x:formula1>
      <x:formula2>0</x:formula2>
    </x:dataValidation>
    <x:dataValidation type="list" allowBlank="1" showErrorMessage="1" errorTitle="Invalid Entry" error="Please select a dependency type from the dropdown" sqref="F3:F32">
      <x:formula1>"FS (Finish-to-Start),SS (Start-to-Start),FF (Finish-to-Finish),SF (Start-to-Finish)"</x:formula1>
      <x:formula2>0</x:formula2>
    </x:dataValidation>
    <x:dataValidation type="whole" sqref="G3:H32">
      <x:formula1>1</x:formula1>
      <x:formula2>104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.899999618530273"/>
  <x:cols>
    <x:col min="1" max="1" width="11.61328125" style="31" customWidth="1"/>
    <x:col min="2" max="2" width="26.4609375" style="31" customWidth="1"/>
    <x:col min="3" max="3" width="22.3828125" style="31" customWidth="1"/>
    <x:col min="4" max="4" width="16.765625" style="31" customWidth="1"/>
    <x:col min="5" max="5" width="23" style="31" customWidth="1"/>
    <x:col min="6" max="6" width="43.921875" style="31" customWidth="1"/>
    <x:col min="7" max="16384" width="9.23046875" style="31" customWidth="0"/>
  </x:cols>
  <x:sheetData>
    <x:row r="1" ht="27.549999237060547" customHeight="1">
      <x:c r="A1" s="30" t="str">
        <x:v>Week 8 | David Zupinski | Four-activity RCHN subset</x:v>
      </x:c>
      <x:c r="B1" s="30"/>
      <x:c r="C1" s="30"/>
      <x:c r="D1" s="30"/>
      <x:c r="E1" s="30"/>
      <x:c r="F1" s="30"/>
    </x:row>
    <x:row r="2" ht="12" customHeight="1">
      <x:c r="A2" s="32"/>
      <x:c r="B2" s="32"/>
      <x:c r="C2" s="32"/>
      <x:c r="D2" s="32"/>
      <x:c r="E2" s="32"/>
      <x:c r="F2" s="32"/>
    </x:row>
    <x:row r="3" s="33" customFormat="1" ht="31.5" customHeight="1">
      <x:c r="A3" s="41" t="s">
        <x:v>49</x:v>
      </x:c>
      <x:c r="B3" s="40" t="s">
        <x:v>50</x:v>
      </x:c>
      <x:c r="C3" s="41" t="s">
        <x:v>51</x:v>
      </x:c>
      <x:c r="D3" s="41" t="s">
        <x:v>52</x:v>
      </x:c>
      <x:c r="E3" s="41" t="s">
        <x:v>53</x:v>
      </x:c>
      <x:c r="F3" s="40" t="s">
        <x:v>54</x:v>
      </x:c>
    </x:row>
    <x:row r="4" s="37" customFormat="1" ht="52" customHeight="1">
      <x:c r="A4" s="34" t="str">
        <x:v>A</x:v>
      </x:c>
      <x:c r="B4" s="88" t="str">
        <x:v>Confirm shared intake, identity and access rules</x:v>
      </x:c>
      <x:c r="C4" s="89" t="n">
        <x:v>5</x:v>
      </x:c>
      <x:c r="D4" s="89" t="str">
        <x:v>None</x:v>
      </x:c>
      <x:c r="E4" s="89" t="n">
        <x:v>1</x:v>
      </x:c>
      <x:c r="F4" s="88" t="str">
        <x:v>Shared rules establish the intake and availability baseline.</x:v>
      </x:c>
    </x:row>
    <x:row r="5" s="37" customFormat="1" ht="52" customHeight="1">
      <x:c r="A5" s="34" t="str">
        <x:v>B</x:v>
      </x:c>
      <x:c r="B5" s="90" t="str">
        <x:v>Configure intake and retained-data workflow</x:v>
      </x:c>
      <x:c r="C5" s="91" t="n">
        <x:v>10</x:v>
      </x:c>
      <x:c r="D5" s="91" t="str">
        <x:v>A</x:v>
      </x:c>
      <x:c r="E5" s="91" t="n">
        <x:v>2</x:v>
      </x:c>
      <x:c r="F5" s="90" t="str">
        <x:v>Intake implementation waits for A.</x:v>
      </x:c>
    </x:row>
    <x:row r="6" s="37" customFormat="1" ht="52" customHeight="1">
      <x:c r="A6" s="34" t="str">
        <x:v>C</x:v>
      </x:c>
      <x:c r="B6" s="88" t="str">
        <x:v>Configure clinic/date availability</x:v>
      </x:c>
      <x:c r="C6" s="89" t="n">
        <x:v>5</x:v>
      </x:c>
      <x:c r="D6" s="89" t="str">
        <x:v>A</x:v>
      </x:c>
      <x:c r="E6" s="89" t="n">
        <x:v>2</x:v>
      </x:c>
      <x:c r="F6" s="88" t="str">
        <x:v>Availability can run parallel to B after A.</x:v>
      </x:c>
    </x:row>
    <x:row r="7" s="37" customFormat="1" ht="52" customHeight="1">
      <x:c r="A7" s="34" t="str">
        <x:v>D</x:v>
      </x:c>
      <x:c r="B7" s="90" t="str">
        <x:v>Integrate booking and verify conflict/error handling</x:v>
      </x:c>
      <x:c r="C7" s="91" t="n">
        <x:v>10</x:v>
      </x:c>
      <x:c r="D7" s="91" t="str">
        <x:v>B,C</x:v>
      </x:c>
      <x:c r="E7" s="91" t="n">
        <x:v>4</x:v>
      </x:c>
      <x:c r="F7" s="90" t="str">
        <x:v>Booking integration waits for BOTH intake and availability.</x:v>
      </x:c>
    </x:row>
    <x:row r="8" ht="14.050000190734863" customHeight="1">
      <x:c r="A8" s="32"/>
      <x:c r="B8" s="32"/>
      <x:c r="C8" s="32"/>
      <x:c r="D8" s="32"/>
      <x:c r="E8" s="32"/>
      <x:c r="F8" s="32"/>
    </x:row>
    <x:row r="9" s="33" customFormat="1" ht="23.149999618530273" customHeight="1">
      <x:c r="A9" s="42" t="s">
        <x:v>55</x:v>
      </x:c>
      <x:c r="B9" s="42"/>
      <x:c r="C9" s="42"/>
      <x:c r="D9" s="42"/>
      <x:c r="E9" s="42"/>
      <x:c r="F9" s="42"/>
    </x:row>
    <x:row r="10" s="37" customFormat="1" ht="18" customHeight="1">
      <x:c r="A10" s="43" t="s">
        <x:v>56</x:v>
      </x:c>
      <x:c r="B10" s="43"/>
      <x:c r="C10" s="43"/>
      <x:c r="D10" s="43"/>
      <x:c r="E10" s="43"/>
      <x:c r="F10" s="43"/>
    </x:row>
    <x:row r="11" s="37" customFormat="1" ht="18" customHeight="1">
      <x:c r="A11" s="44" t="str">
        <x:v>Subset maps to Project Schedule codes 1.1, 2.1, 2.2 and 2.3.1. It ends in Week 5; full rollout and support continue through Week 26.</x:v>
      </x:c>
      <x:c r="B11" s="44"/>
      <x:c r="C11" s="44"/>
      <x:c r="D11" s="44"/>
      <x:c r="E11" s="44"/>
      <x:c r="F11" s="44"/>
    </x:row>
    <x:row r="12" s="37" customFormat="1" ht="18" customHeight="1">
      <x:c r="A12" s="43" t="str">
        <x:v>Independent exercise: A3-B4-D2 = 9 days; A3-C6-D2 = 11 days (critical). A two-day critical delay makes 13 days.</x:v>
      </x:c>
      <x:c r="B12" s="43"/>
      <x:c r="C12" s="43"/>
      <x:c r="D12" s="43"/>
      <x:c r="E12" s="43"/>
      <x:c r="F12" s="43"/>
    </x:row>
    <x:row r="13" ht="14.050000190734863" customHeight="1">
      <x:c r="A13" s="32"/>
      <x:c r="B13" s="32"/>
      <x:c r="C13" s="32"/>
      <x:c r="D13" s="32"/>
      <x:c r="E13" s="32"/>
      <x:c r="F13" s="32"/>
    </x:row>
    <x:row r="14" s="33" customFormat="1" ht="23.5" customHeight="1">
      <x:c r="A14" s="42" t="s">
        <x:v>57</x:v>
      </x:c>
      <x:c r="B14" s="42"/>
      <x:c r="C14" s="42"/>
      <x:c r="D14" s="42"/>
      <x:c r="E14" s="42"/>
      <x:c r="F14" s="42"/>
    </x:row>
    <x:row r="15" s="37" customFormat="1" ht="18" customHeight="1">
      <x:c r="A15" s="44" t="s">
        <x:v>58</x:v>
      </x:c>
      <x:c r="B15" s="44"/>
      <x:c r="C15" s="44"/>
      <x:c r="D15" s="44"/>
      <x:c r="E15" s="44"/>
      <x:c r="F15" s="44"/>
    </x:row>
    <x:row r="16" ht="12" customHeight="1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</x:sheetData>
  <x:mergeCells>
    <x:mergeCell ref="A15:F15"/>
    <x:mergeCell ref="A1:F1"/>
    <x:mergeCell ref="A9:F9"/>
    <x:mergeCell ref="A14:F14"/>
    <x:mergeCell ref="A10:F10"/>
    <x:mergeCell ref="A11:F11"/>
    <x:mergeCell ref="A12:F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600000381469727"/>
  <x:cols>
    <x:col min="1" max="1" width="12" customWidth="1"/>
    <x:col min="2" max="2" width="55" hidden="0" customWidth="1"/>
    <x:col min="3" max="3" width="18" customWidth="1"/>
    <x:col min="4" max="4" width="13" customWidth="1"/>
    <x:col min="5" max="44" width="5" customWidth="1"/>
  </x:cols>
  <x:sheetData>
    <x:row r="1" ht="18.350000381469727" customHeight="1">
      <x:c r="A1" s="29" t="s">
        <x:v>59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  <x:c r="AF1" s="29"/>
      <x:c r="AG1" s="29"/>
      <x:c r="AH1" s="29"/>
      <x:c r="AI1" s="29"/>
      <x:c r="AJ1" s="29"/>
      <x:c r="AK1" s="29"/>
      <x:c r="AL1" s="29"/>
      <x:c r="AM1" s="29"/>
      <x:c r="AN1" s="29"/>
      <x:c r="AO1" s="29"/>
      <x:c r="AP1" s="29"/>
      <x:c r="AQ1" s="29"/>
      <x:c r="AR1" s="29"/>
    </x:row>
    <x:row r="2">
      <x:c r="A2" t="s">
        <x:v>60</x:v>
      </x:c>
    </x:row>
    <x:row r="4" ht="15.449999809265137" customHeight="1">
      <x:c r="A4" s="26" t="s">
        <x:v>61</x:v>
      </x:c>
      <x:c r="B4" s="26" t="s">
        <x:v>62</x:v>
      </x:c>
      <x:c r="C4" s="26" t="s">
        <x:v>63</x:v>
      </x:c>
      <x:c r="D4" s="26" t="s">
        <x:v>64</x:v>
      </x:c>
      <x:c r="E4" s="26">
        <x:v>1</x:v>
      </x:c>
      <x:c r="F4" s="26">
        <x:v>2</x:v>
      </x:c>
      <x:c r="G4" s="26">
        <x:v>3</x:v>
      </x:c>
      <x:c r="H4" s="26">
        <x:v>4</x:v>
      </x:c>
      <x:c r="I4" s="26">
        <x:v>5</x:v>
      </x:c>
      <x:c r="J4" s="26">
        <x:v>6</x:v>
      </x:c>
      <x:c r="K4" s="26">
        <x:v>7</x:v>
      </x:c>
      <x:c r="L4" s="26">
        <x:v>8</x:v>
      </x:c>
      <x:c r="M4" s="26">
        <x:v>9</x:v>
      </x:c>
      <x:c r="N4" s="26">
        <x:v>10</x:v>
      </x:c>
      <x:c r="O4" s="26">
        <x:v>11</x:v>
      </x:c>
      <x:c r="P4" s="26">
        <x:v>12</x:v>
      </x:c>
      <x:c r="Q4" s="26">
        <x:v>13</x:v>
      </x:c>
      <x:c r="R4" s="26">
        <x:v>14</x:v>
      </x:c>
      <x:c r="S4" s="26">
        <x:v>15</x:v>
      </x:c>
      <x:c r="T4" s="26">
        <x:v>16</x:v>
      </x:c>
      <x:c r="U4" s="26">
        <x:v>17</x:v>
      </x:c>
      <x:c r="V4" s="26">
        <x:v>18</x:v>
      </x:c>
      <x:c r="W4" s="26">
        <x:v>19</x:v>
      </x:c>
      <x:c r="X4" s="26">
        <x:v>20</x:v>
      </x:c>
      <x:c r="Y4" s="26">
        <x:v>21</x:v>
      </x:c>
      <x:c r="Z4" s="26">
        <x:v>22</x:v>
      </x:c>
      <x:c r="AA4" s="26">
        <x:v>23</x:v>
      </x:c>
      <x:c r="AB4" s="26">
        <x:v>24</x:v>
      </x:c>
      <x:c r="AC4" s="26">
        <x:v>25</x:v>
      </x:c>
      <x:c r="AD4" s="26">
        <x:v>26</x:v>
      </x:c>
      <x:c r="AE4" s="26">
        <x:v>27</x:v>
      </x:c>
      <x:c r="AF4" s="26">
        <x:v>28</x:v>
      </x:c>
      <x:c r="AG4" s="26">
        <x:v>29</x:v>
      </x:c>
      <x:c r="AH4" s="26">
        <x:v>30</x:v>
      </x:c>
      <x:c r="AI4" s="26">
        <x:v>31</x:v>
      </x:c>
      <x:c r="AJ4" s="26">
        <x:v>32</x:v>
      </x:c>
      <x:c r="AK4" s="26">
        <x:v>33</x:v>
      </x:c>
      <x:c r="AL4" s="26">
        <x:v>34</x:v>
      </x:c>
      <x:c r="AM4" s="26">
        <x:v>35</x:v>
      </x:c>
      <x:c r="AN4" s="26">
        <x:v>36</x:v>
      </x:c>
      <x:c r="AO4" s="26">
        <x:v>37</x:v>
      </x:c>
      <x:c r="AP4" s="26">
        <x:v>38</x:v>
      </x:c>
      <x:c r="AQ4" s="26">
        <x:v>39</x:v>
      </x:c>
      <x:c r="AR4" s="26">
        <x:v>40</x:v>
      </x:c>
    </x:row>
    <x:row r="5" ht="32" customHeight="1">
      <x:c r="A5" s="93" t="str">
        <x:f>'Project Schedule'!A3</x:f>
        <x:v>1.0</x:v>
      </x:c>
      <x:c r="B5" s="93" t="str">
        <x:f>'Project Schedule'!B3</x:f>
        <x:v>PLANNING AND SCOPE BASELINE</x:v>
      </x:c>
      <x:c r="C5" s="93" t="str">
        <x:f>'Project Schedule'!D3</x:f>
        <x:v>Phase Header</x:v>
      </x:c>
      <x:c r="D5" s="93" t="n">
        <x:f>'Project Schedule'!J3</x:f>
        <x:v>0</x:v>
      </x:c>
      <x:c r="E5" s="28" t="str">
        <x:f>IF(OR('Project Schedule'!$G3="",'Project Schedule'!$H3=""),"",IF(AND(E$4&gt;='Project Schedule'!$G3,E$4&lt;='Project Schedule'!$H3),IF('Project Schedule'!$D3="Milestone","◆",IF('Project Schedule'!$D3="Phase Header","","■")),""))</x:f>
      </x:c>
      <x:c r="F5" s="28" t="str">
        <x:f>IF(OR('Project Schedule'!$G3="",'Project Schedule'!$H3=""),"",IF(AND(F$4&gt;='Project Schedule'!$G3,F$4&lt;='Project Schedule'!$H3),IF('Project Schedule'!$D3="Milestone","◆",IF('Project Schedule'!$D3="Phase Header","","■")),""))</x:f>
      </x:c>
      <x:c r="G5" s="28" t="str">
        <x:f>IF(OR('Project Schedule'!$G3="",'Project Schedule'!$H3=""),"",IF(AND(G$4&gt;='Project Schedule'!$G3,G$4&lt;='Project Schedule'!$H3),IF('Project Schedule'!$D3="Milestone","◆",IF('Project Schedule'!$D3="Phase Header","","■")),""))</x:f>
      </x:c>
      <x:c r="H5" s="28" t="str">
        <x:f>IF(OR('Project Schedule'!$G3="",'Project Schedule'!$H3=""),"",IF(AND(H$4&gt;='Project Schedule'!$G3,H$4&lt;='Project Schedule'!$H3),IF('Project Schedule'!$D3="Milestone","◆",IF('Project Schedule'!$D3="Phase Header","","■")),""))</x:f>
      </x:c>
      <x:c r="I5" s="28" t="str">
        <x:f>IF(OR('Project Schedule'!$G3="",'Project Schedule'!$H3=""),"",IF(AND(I$4&gt;='Project Schedule'!$G3,I$4&lt;='Project Schedule'!$H3),IF('Project Schedule'!$D3="Milestone","◆",IF('Project Schedule'!$D3="Phase Header","","■")),""))</x:f>
      </x:c>
      <x:c r="J5" s="28" t="str">
        <x:f>IF(OR('Project Schedule'!$G3="",'Project Schedule'!$H3=""),"",IF(AND(J$4&gt;='Project Schedule'!$G3,J$4&lt;='Project Schedule'!$H3),IF('Project Schedule'!$D3="Milestone","◆",IF('Project Schedule'!$D3="Phase Header","","■")),""))</x:f>
      </x:c>
      <x:c r="K5" s="28" t="str">
        <x:f>IF(OR('Project Schedule'!$G3="",'Project Schedule'!$H3=""),"",IF(AND(K$4&gt;='Project Schedule'!$G3,K$4&lt;='Project Schedule'!$H3),IF('Project Schedule'!$D3="Milestone","◆",IF('Project Schedule'!$D3="Phase Header","","■")),""))</x:f>
      </x:c>
      <x:c r="L5" s="28" t="str">
        <x:f>IF(OR('Project Schedule'!$G3="",'Project Schedule'!$H3=""),"",IF(AND(L$4&gt;='Project Schedule'!$G3,L$4&lt;='Project Schedule'!$H3),IF('Project Schedule'!$D3="Milestone","◆",IF('Project Schedule'!$D3="Phase Header","","■")),""))</x:f>
      </x:c>
      <x:c r="M5" s="28" t="str">
        <x:f>IF(OR('Project Schedule'!$G3="",'Project Schedule'!$H3=""),"",IF(AND(M$4&gt;='Project Schedule'!$G3,M$4&lt;='Project Schedule'!$H3),IF('Project Schedule'!$D3="Milestone","◆",IF('Project Schedule'!$D3="Phase Header","","■")),""))</x:f>
      </x:c>
      <x:c r="N5" s="28" t="str">
        <x:f>IF(OR('Project Schedule'!$G3="",'Project Schedule'!$H3=""),"",IF(AND(N$4&gt;='Project Schedule'!$G3,N$4&lt;='Project Schedule'!$H3),IF('Project Schedule'!$D3="Milestone","◆",IF('Project Schedule'!$D3="Phase Header","","■")),""))</x:f>
      </x:c>
      <x:c r="O5" s="28" t="str">
        <x:f>IF(OR('Project Schedule'!$G3="",'Project Schedule'!$H3=""),"",IF(AND(O$4&gt;='Project Schedule'!$G3,O$4&lt;='Project Schedule'!$H3),IF('Project Schedule'!$D3="Milestone","◆",IF('Project Schedule'!$D3="Phase Header","","■")),""))</x:f>
      </x:c>
      <x:c r="P5" s="28" t="str">
        <x:f>IF(OR('Project Schedule'!$G3="",'Project Schedule'!$H3=""),"",IF(AND(P$4&gt;='Project Schedule'!$G3,P$4&lt;='Project Schedule'!$H3),IF('Project Schedule'!$D3="Milestone","◆",IF('Project Schedule'!$D3="Phase Header","","■")),""))</x:f>
      </x:c>
      <x:c r="Q5" s="28" t="str">
        <x:f>IF(OR('Project Schedule'!$G3="",'Project Schedule'!$H3=""),"",IF(AND(Q$4&gt;='Project Schedule'!$G3,Q$4&lt;='Project Schedule'!$H3),IF('Project Schedule'!$D3="Milestone","◆",IF('Project Schedule'!$D3="Phase Header","","■")),""))</x:f>
      </x:c>
      <x:c r="R5" s="28" t="str">
        <x:f>IF(OR('Project Schedule'!$G3="",'Project Schedule'!$H3=""),"",IF(AND(R$4&gt;='Project Schedule'!$G3,R$4&lt;='Project Schedule'!$H3),IF('Project Schedule'!$D3="Milestone","◆",IF('Project Schedule'!$D3="Phase Header","","■")),""))</x:f>
      </x:c>
      <x:c r="S5" s="28" t="str">
        <x:f>IF(OR('Project Schedule'!$G3="",'Project Schedule'!$H3=""),"",IF(AND(S$4&gt;='Project Schedule'!$G3,S$4&lt;='Project Schedule'!$H3),IF('Project Schedule'!$D3="Milestone","◆",IF('Project Schedule'!$D3="Phase Header","","■")),""))</x:f>
      </x:c>
      <x:c r="T5" s="28" t="str">
        <x:f>IF(OR('Project Schedule'!$G3="",'Project Schedule'!$H3=""),"",IF(AND(T$4&gt;='Project Schedule'!$G3,T$4&lt;='Project Schedule'!$H3),IF('Project Schedule'!$D3="Milestone","◆",IF('Project Schedule'!$D3="Phase Header","","■")),""))</x:f>
      </x:c>
      <x:c r="U5" s="28" t="str">
        <x:f>IF(OR('Project Schedule'!$G3="",'Project Schedule'!$H3=""),"",IF(AND(U$4&gt;='Project Schedule'!$G3,U$4&lt;='Project Schedule'!$H3),IF('Project Schedule'!$D3="Milestone","◆",IF('Project Schedule'!$D3="Phase Header","","■")),""))</x:f>
      </x:c>
      <x:c r="V5" s="28" t="str">
        <x:f>IF(OR('Project Schedule'!$G3="",'Project Schedule'!$H3=""),"",IF(AND(V$4&gt;='Project Schedule'!$G3,V$4&lt;='Project Schedule'!$H3),IF('Project Schedule'!$D3="Milestone","◆",IF('Project Schedule'!$D3="Phase Header","","■")),""))</x:f>
      </x:c>
      <x:c r="W5" s="28" t="str">
        <x:f>IF(OR('Project Schedule'!$G3="",'Project Schedule'!$H3=""),"",IF(AND(W$4&gt;='Project Schedule'!$G3,W$4&lt;='Project Schedule'!$H3),IF('Project Schedule'!$D3="Milestone","◆",IF('Project Schedule'!$D3="Phase Header","","■")),""))</x:f>
      </x:c>
      <x:c r="X5" s="28" t="str">
        <x:f>IF(OR('Project Schedule'!$G3="",'Project Schedule'!$H3=""),"",IF(AND(X$4&gt;='Project Schedule'!$G3,X$4&lt;='Project Schedule'!$H3),IF('Project Schedule'!$D3="Milestone","◆",IF('Project Schedule'!$D3="Phase Header","","■")),""))</x:f>
      </x:c>
      <x:c r="Y5" s="28" t="str">
        <x:f>IF(OR('Project Schedule'!$G3="",'Project Schedule'!$H3=""),"",IF(AND(Y$4&gt;='Project Schedule'!$G3,Y$4&lt;='Project Schedule'!$H3),IF('Project Schedule'!$D3="Milestone","◆",IF('Project Schedule'!$D3="Phase Header","","■")),""))</x:f>
      </x:c>
      <x:c r="Z5" s="28" t="str">
        <x:f>IF(OR('Project Schedule'!$G3="",'Project Schedule'!$H3=""),"",IF(AND(Z$4&gt;='Project Schedule'!$G3,Z$4&lt;='Project Schedule'!$H3),IF('Project Schedule'!$D3="Milestone","◆",IF('Project Schedule'!$D3="Phase Header","","■")),""))</x:f>
      </x:c>
      <x:c r="AA5" s="28" t="str">
        <x:f>IF(OR('Project Schedule'!$G3="",'Project Schedule'!$H3=""),"",IF(AND(AA$4&gt;='Project Schedule'!$G3,AA$4&lt;='Project Schedule'!$H3),IF('Project Schedule'!$D3="Milestone","◆",IF('Project Schedule'!$D3="Phase Header","","■")),""))</x:f>
      </x:c>
      <x:c r="AB5" s="28" t="str">
        <x:f>IF(OR('Project Schedule'!$G3="",'Project Schedule'!$H3=""),"",IF(AND(AB$4&gt;='Project Schedule'!$G3,AB$4&lt;='Project Schedule'!$H3),IF('Project Schedule'!$D3="Milestone","◆",IF('Project Schedule'!$D3="Phase Header","","■")),""))</x:f>
      </x:c>
      <x:c r="AC5" s="28" t="str">
        <x:f>IF(OR('Project Schedule'!$G3="",'Project Schedule'!$H3=""),"",IF(AND(AC$4&gt;='Project Schedule'!$G3,AC$4&lt;='Project Schedule'!$H3),IF('Project Schedule'!$D3="Milestone","◆",IF('Project Schedule'!$D3="Phase Header","","■")),""))</x:f>
      </x:c>
      <x:c r="AD5" s="28" t="str">
        <x:f>IF(OR('Project Schedule'!$G3="",'Project Schedule'!$H3=""),"",IF(AND(AD$4&gt;='Project Schedule'!$G3,AD$4&lt;='Project Schedule'!$H3),IF('Project Schedule'!$D3="Milestone","◆",IF('Project Schedule'!$D3="Phase Header","","■")),""))</x:f>
      </x:c>
      <x:c r="AE5" s="28" t="str">
        <x:f>IF(OR('Project Schedule'!$G3="",'Project Schedule'!$H3=""),"",IF(AND(AE$4&gt;='Project Schedule'!$G3,AE$4&lt;='Project Schedule'!$H3),IF('Project Schedule'!$D3="Milestone","◆",IF('Project Schedule'!$D3="Phase Header","","■")),""))</x:f>
      </x:c>
      <x:c r="AF5" s="28" t="str">
        <x:f>IF(OR('Project Schedule'!$G3="",'Project Schedule'!$H3=""),"",IF(AND(AF$4&gt;='Project Schedule'!$G3,AF$4&lt;='Project Schedule'!$H3),IF('Project Schedule'!$D3="Milestone","◆",IF('Project Schedule'!$D3="Phase Header","","■")),""))</x:f>
      </x:c>
      <x:c r="AG5" s="28" t="str">
        <x:f>IF(OR('Project Schedule'!$G3="",'Project Schedule'!$H3=""),"",IF(AND(AG$4&gt;='Project Schedule'!$G3,AG$4&lt;='Project Schedule'!$H3),IF('Project Schedule'!$D3="Milestone","◆",IF('Project Schedule'!$D3="Phase Header","","■")),""))</x:f>
      </x:c>
      <x:c r="AH5" s="28" t="str">
        <x:f>IF(OR('Project Schedule'!$G3="",'Project Schedule'!$H3=""),"",IF(AND(AH$4&gt;='Project Schedule'!$G3,AH$4&lt;='Project Schedule'!$H3),IF('Project Schedule'!$D3="Milestone","◆",IF('Project Schedule'!$D3="Phase Header","","■")),""))</x:f>
      </x:c>
      <x:c r="AI5" s="28" t="str">
        <x:f>IF(OR('Project Schedule'!$G3="",'Project Schedule'!$H3=""),"",IF(AND(AI$4&gt;='Project Schedule'!$G3,AI$4&lt;='Project Schedule'!$H3),IF('Project Schedule'!$D3="Milestone","◆",IF('Project Schedule'!$D3="Phase Header","","■")),""))</x:f>
      </x:c>
      <x:c r="AJ5" s="28" t="str">
        <x:f>IF(OR('Project Schedule'!$G3="",'Project Schedule'!$H3=""),"",IF(AND(AJ$4&gt;='Project Schedule'!$G3,AJ$4&lt;='Project Schedule'!$H3),IF('Project Schedule'!$D3="Milestone","◆",IF('Project Schedule'!$D3="Phase Header","","■")),""))</x:f>
      </x:c>
      <x:c r="AK5" s="28" t="str">
        <x:f>IF(OR('Project Schedule'!$G3="",'Project Schedule'!$H3=""),"",IF(AND(AK$4&gt;='Project Schedule'!$G3,AK$4&lt;='Project Schedule'!$H3),IF('Project Schedule'!$D3="Milestone","◆",IF('Project Schedule'!$D3="Phase Header","","■")),""))</x:f>
      </x:c>
      <x:c r="AL5" s="28" t="str">
        <x:f>IF(OR('Project Schedule'!$G3="",'Project Schedule'!$H3=""),"",IF(AND(AL$4&gt;='Project Schedule'!$G3,AL$4&lt;='Project Schedule'!$H3),IF('Project Schedule'!$D3="Milestone","◆",IF('Project Schedule'!$D3="Phase Header","","■")),""))</x:f>
      </x:c>
      <x:c r="AM5" s="28" t="str">
        <x:f>IF(OR('Project Schedule'!$G3="",'Project Schedule'!$H3=""),"",IF(AND(AM$4&gt;='Project Schedule'!$G3,AM$4&lt;='Project Schedule'!$H3),IF('Project Schedule'!$D3="Milestone","◆",IF('Project Schedule'!$D3="Phase Header","","■")),""))</x:f>
      </x:c>
      <x:c r="AN5" s="28" t="str">
        <x:f>IF(OR('Project Schedule'!$G3="",'Project Schedule'!$H3=""),"",IF(AND(AN$4&gt;='Project Schedule'!$G3,AN$4&lt;='Project Schedule'!$H3),IF('Project Schedule'!$D3="Milestone","◆",IF('Project Schedule'!$D3="Phase Header","","■")),""))</x:f>
      </x:c>
      <x:c r="AO5" s="28" t="str">
        <x:f>IF(OR('Project Schedule'!$G3="",'Project Schedule'!$H3=""),"",IF(AND(AO$4&gt;='Project Schedule'!$G3,AO$4&lt;='Project Schedule'!$H3),IF('Project Schedule'!$D3="Milestone","◆",IF('Project Schedule'!$D3="Phase Header","","■")),""))</x:f>
      </x:c>
      <x:c r="AP5" s="28" t="str">
        <x:f>IF(OR('Project Schedule'!$G3="",'Project Schedule'!$H3=""),"",IF(AND(AP$4&gt;='Project Schedule'!$G3,AP$4&lt;='Project Schedule'!$H3),IF('Project Schedule'!$D3="Milestone","◆",IF('Project Schedule'!$D3="Phase Header","","■")),""))</x:f>
      </x:c>
      <x:c r="AQ5" s="28" t="str">
        <x:f>IF(OR('Project Schedule'!$G3="",'Project Schedule'!$H3=""),"",IF(AND(AQ$4&gt;='Project Schedule'!$G3,AQ$4&lt;='Project Schedule'!$H3),IF('Project Schedule'!$D3="Milestone","◆",IF('Project Schedule'!$D3="Phase Header","","■")),""))</x:f>
      </x:c>
      <x:c r="AR5" s="28" t="str">
        <x:f>IF(OR('Project Schedule'!$G3="",'Project Schedule'!$H3=""),"",IF(AND(AR$4&gt;='Project Schedule'!$G3,AR$4&lt;='Project Schedule'!$H3),IF('Project Schedule'!$D3="Milestone","◆",IF('Project Schedule'!$D3="Phase Header","","■")),""))</x:f>
      </x:c>
    </x:row>
    <x:row r="6" ht="32" customHeight="1">
      <x:c r="A6" s="93" t="str">
        <x:f>'Project Schedule'!A4</x:f>
        <x:v>1.1</x:v>
      </x:c>
      <x:c r="B6" s="93" t="str">
        <x:f>'Project Schedule'!B4</x:f>
        <x:v>Confirm shared intake, identity and access rules</x:v>
      </x:c>
      <x:c r="C6" s="93" t="str">
        <x:f>'Project Schedule'!D4</x:f>
        <x:v>Task</x:v>
      </x:c>
      <x:c r="D6" s="93" t="str">
        <x:f>'Project Schedule'!J4</x:f>
        <x:v>YES</x:v>
      </x:c>
      <x:c r="E6" s="28" t="str">
        <x:f>IF(OR('Project Schedule'!$G4="",'Project Schedule'!$H4=""),"",IF(AND(E$4&gt;='Project Schedule'!$G4,E$4&lt;='Project Schedule'!$H4),IF('Project Schedule'!$D4="Milestone","◆",IF('Project Schedule'!$D4="Phase Header","","■")),""))</x:f>
        <x:v>■</x:v>
      </x:c>
      <x:c r="F6" s="28" t="str">
        <x:f>IF(OR('Project Schedule'!$G4="",'Project Schedule'!$H4=""),"",IF(AND(F$4&gt;='Project Schedule'!$G4,F$4&lt;='Project Schedule'!$H4),IF('Project Schedule'!$D4="Milestone","◆",IF('Project Schedule'!$D4="Phase Header","","■")),""))</x:f>
      </x:c>
      <x:c r="G6" s="28" t="str">
        <x:f>IF(OR('Project Schedule'!$G4="",'Project Schedule'!$H4=""),"",IF(AND(G$4&gt;='Project Schedule'!$G4,G$4&lt;='Project Schedule'!$H4),IF('Project Schedule'!$D4="Milestone","◆",IF('Project Schedule'!$D4="Phase Header","","■")),""))</x:f>
      </x:c>
      <x:c r="H6" s="28" t="str">
        <x:f>IF(OR('Project Schedule'!$G4="",'Project Schedule'!$H4=""),"",IF(AND(H$4&gt;='Project Schedule'!$G4,H$4&lt;='Project Schedule'!$H4),IF('Project Schedule'!$D4="Milestone","◆",IF('Project Schedule'!$D4="Phase Header","","■")),""))</x:f>
      </x:c>
      <x:c r="I6" s="28" t="str">
        <x:f>IF(OR('Project Schedule'!$G4="",'Project Schedule'!$H4=""),"",IF(AND(I$4&gt;='Project Schedule'!$G4,I$4&lt;='Project Schedule'!$H4),IF('Project Schedule'!$D4="Milestone","◆",IF('Project Schedule'!$D4="Phase Header","","■")),""))</x:f>
      </x:c>
      <x:c r="J6" s="28" t="str">
        <x:f>IF(OR('Project Schedule'!$G4="",'Project Schedule'!$H4=""),"",IF(AND(J$4&gt;='Project Schedule'!$G4,J$4&lt;='Project Schedule'!$H4),IF('Project Schedule'!$D4="Milestone","◆",IF('Project Schedule'!$D4="Phase Header","","■")),""))</x:f>
      </x:c>
      <x:c r="K6" s="28" t="str">
        <x:f>IF(OR('Project Schedule'!$G4="",'Project Schedule'!$H4=""),"",IF(AND(K$4&gt;='Project Schedule'!$G4,K$4&lt;='Project Schedule'!$H4),IF('Project Schedule'!$D4="Milestone","◆",IF('Project Schedule'!$D4="Phase Header","","■")),""))</x:f>
      </x:c>
      <x:c r="L6" s="28" t="str">
        <x:f>IF(OR('Project Schedule'!$G4="",'Project Schedule'!$H4=""),"",IF(AND(L$4&gt;='Project Schedule'!$G4,L$4&lt;='Project Schedule'!$H4),IF('Project Schedule'!$D4="Milestone","◆",IF('Project Schedule'!$D4="Phase Header","","■")),""))</x:f>
      </x:c>
      <x:c r="M6" s="28" t="str">
        <x:f>IF(OR('Project Schedule'!$G4="",'Project Schedule'!$H4=""),"",IF(AND(M$4&gt;='Project Schedule'!$G4,M$4&lt;='Project Schedule'!$H4),IF('Project Schedule'!$D4="Milestone","◆",IF('Project Schedule'!$D4="Phase Header","","■")),""))</x:f>
      </x:c>
      <x:c r="N6" s="28" t="str">
        <x:f>IF(OR('Project Schedule'!$G4="",'Project Schedule'!$H4=""),"",IF(AND(N$4&gt;='Project Schedule'!$G4,N$4&lt;='Project Schedule'!$H4),IF('Project Schedule'!$D4="Milestone","◆",IF('Project Schedule'!$D4="Phase Header","","■")),""))</x:f>
      </x:c>
      <x:c r="O6" s="28" t="str">
        <x:f>IF(OR('Project Schedule'!$G4="",'Project Schedule'!$H4=""),"",IF(AND(O$4&gt;='Project Schedule'!$G4,O$4&lt;='Project Schedule'!$H4),IF('Project Schedule'!$D4="Milestone","◆",IF('Project Schedule'!$D4="Phase Header","","■")),""))</x:f>
      </x:c>
      <x:c r="P6" s="28" t="str">
        <x:f>IF(OR('Project Schedule'!$G4="",'Project Schedule'!$H4=""),"",IF(AND(P$4&gt;='Project Schedule'!$G4,P$4&lt;='Project Schedule'!$H4),IF('Project Schedule'!$D4="Milestone","◆",IF('Project Schedule'!$D4="Phase Header","","■")),""))</x:f>
      </x:c>
      <x:c r="Q6" s="28" t="str">
        <x:f>IF(OR('Project Schedule'!$G4="",'Project Schedule'!$H4=""),"",IF(AND(Q$4&gt;='Project Schedule'!$G4,Q$4&lt;='Project Schedule'!$H4),IF('Project Schedule'!$D4="Milestone","◆",IF('Project Schedule'!$D4="Phase Header","","■")),""))</x:f>
      </x:c>
      <x:c r="R6" s="28" t="str">
        <x:f>IF(OR('Project Schedule'!$G4="",'Project Schedule'!$H4=""),"",IF(AND(R$4&gt;='Project Schedule'!$G4,R$4&lt;='Project Schedule'!$H4),IF('Project Schedule'!$D4="Milestone","◆",IF('Project Schedule'!$D4="Phase Header","","■")),""))</x:f>
      </x:c>
      <x:c r="S6" s="28" t="str">
        <x:f>IF(OR('Project Schedule'!$G4="",'Project Schedule'!$H4=""),"",IF(AND(S$4&gt;='Project Schedule'!$G4,S$4&lt;='Project Schedule'!$H4),IF('Project Schedule'!$D4="Milestone","◆",IF('Project Schedule'!$D4="Phase Header","","■")),""))</x:f>
      </x:c>
      <x:c r="T6" s="28" t="str">
        <x:f>IF(OR('Project Schedule'!$G4="",'Project Schedule'!$H4=""),"",IF(AND(T$4&gt;='Project Schedule'!$G4,T$4&lt;='Project Schedule'!$H4),IF('Project Schedule'!$D4="Milestone","◆",IF('Project Schedule'!$D4="Phase Header","","■")),""))</x:f>
      </x:c>
      <x:c r="U6" s="28" t="str">
        <x:f>IF(OR('Project Schedule'!$G4="",'Project Schedule'!$H4=""),"",IF(AND(U$4&gt;='Project Schedule'!$G4,U$4&lt;='Project Schedule'!$H4),IF('Project Schedule'!$D4="Milestone","◆",IF('Project Schedule'!$D4="Phase Header","","■")),""))</x:f>
      </x:c>
      <x:c r="V6" s="28" t="str">
        <x:f>IF(OR('Project Schedule'!$G4="",'Project Schedule'!$H4=""),"",IF(AND(V$4&gt;='Project Schedule'!$G4,V$4&lt;='Project Schedule'!$H4),IF('Project Schedule'!$D4="Milestone","◆",IF('Project Schedule'!$D4="Phase Header","","■")),""))</x:f>
      </x:c>
      <x:c r="W6" s="28" t="str">
        <x:f>IF(OR('Project Schedule'!$G4="",'Project Schedule'!$H4=""),"",IF(AND(W$4&gt;='Project Schedule'!$G4,W$4&lt;='Project Schedule'!$H4),IF('Project Schedule'!$D4="Milestone","◆",IF('Project Schedule'!$D4="Phase Header","","■")),""))</x:f>
      </x:c>
      <x:c r="X6" s="28" t="str">
        <x:f>IF(OR('Project Schedule'!$G4="",'Project Schedule'!$H4=""),"",IF(AND(X$4&gt;='Project Schedule'!$G4,X$4&lt;='Project Schedule'!$H4),IF('Project Schedule'!$D4="Milestone","◆",IF('Project Schedule'!$D4="Phase Header","","■")),""))</x:f>
      </x:c>
      <x:c r="Y6" s="28" t="str">
        <x:f>IF(OR('Project Schedule'!$G4="",'Project Schedule'!$H4=""),"",IF(AND(Y$4&gt;='Project Schedule'!$G4,Y$4&lt;='Project Schedule'!$H4),IF('Project Schedule'!$D4="Milestone","◆",IF('Project Schedule'!$D4="Phase Header","","■")),""))</x:f>
      </x:c>
      <x:c r="Z6" s="28" t="str">
        <x:f>IF(OR('Project Schedule'!$G4="",'Project Schedule'!$H4=""),"",IF(AND(Z$4&gt;='Project Schedule'!$G4,Z$4&lt;='Project Schedule'!$H4),IF('Project Schedule'!$D4="Milestone","◆",IF('Project Schedule'!$D4="Phase Header","","■")),""))</x:f>
      </x:c>
      <x:c r="AA6" s="28" t="str">
        <x:f>IF(OR('Project Schedule'!$G4="",'Project Schedule'!$H4=""),"",IF(AND(AA$4&gt;='Project Schedule'!$G4,AA$4&lt;='Project Schedule'!$H4),IF('Project Schedule'!$D4="Milestone","◆",IF('Project Schedule'!$D4="Phase Header","","■")),""))</x:f>
      </x:c>
      <x:c r="AB6" s="28" t="str">
        <x:f>IF(OR('Project Schedule'!$G4="",'Project Schedule'!$H4=""),"",IF(AND(AB$4&gt;='Project Schedule'!$G4,AB$4&lt;='Project Schedule'!$H4),IF('Project Schedule'!$D4="Milestone","◆",IF('Project Schedule'!$D4="Phase Header","","■")),""))</x:f>
      </x:c>
      <x:c r="AC6" s="28" t="str">
        <x:f>IF(OR('Project Schedule'!$G4="",'Project Schedule'!$H4=""),"",IF(AND(AC$4&gt;='Project Schedule'!$G4,AC$4&lt;='Project Schedule'!$H4),IF('Project Schedule'!$D4="Milestone","◆",IF('Project Schedule'!$D4="Phase Header","","■")),""))</x:f>
      </x:c>
      <x:c r="AD6" s="28" t="str">
        <x:f>IF(OR('Project Schedule'!$G4="",'Project Schedule'!$H4=""),"",IF(AND(AD$4&gt;='Project Schedule'!$G4,AD$4&lt;='Project Schedule'!$H4),IF('Project Schedule'!$D4="Milestone","◆",IF('Project Schedule'!$D4="Phase Header","","■")),""))</x:f>
      </x:c>
      <x:c r="AE6" s="28" t="str">
        <x:f>IF(OR('Project Schedule'!$G4="",'Project Schedule'!$H4=""),"",IF(AND(AE$4&gt;='Project Schedule'!$G4,AE$4&lt;='Project Schedule'!$H4),IF('Project Schedule'!$D4="Milestone","◆",IF('Project Schedule'!$D4="Phase Header","","■")),""))</x:f>
      </x:c>
      <x:c r="AF6" s="28" t="str">
        <x:f>IF(OR('Project Schedule'!$G4="",'Project Schedule'!$H4=""),"",IF(AND(AF$4&gt;='Project Schedule'!$G4,AF$4&lt;='Project Schedule'!$H4),IF('Project Schedule'!$D4="Milestone","◆",IF('Project Schedule'!$D4="Phase Header","","■")),""))</x:f>
      </x:c>
      <x:c r="AG6" s="28" t="str">
        <x:f>IF(OR('Project Schedule'!$G4="",'Project Schedule'!$H4=""),"",IF(AND(AG$4&gt;='Project Schedule'!$G4,AG$4&lt;='Project Schedule'!$H4),IF('Project Schedule'!$D4="Milestone","◆",IF('Project Schedule'!$D4="Phase Header","","■")),""))</x:f>
      </x:c>
      <x:c r="AH6" s="28" t="str">
        <x:f>IF(OR('Project Schedule'!$G4="",'Project Schedule'!$H4=""),"",IF(AND(AH$4&gt;='Project Schedule'!$G4,AH$4&lt;='Project Schedule'!$H4),IF('Project Schedule'!$D4="Milestone","◆",IF('Project Schedule'!$D4="Phase Header","","■")),""))</x:f>
      </x:c>
      <x:c r="AI6" s="28" t="str">
        <x:f>IF(OR('Project Schedule'!$G4="",'Project Schedule'!$H4=""),"",IF(AND(AI$4&gt;='Project Schedule'!$G4,AI$4&lt;='Project Schedule'!$H4),IF('Project Schedule'!$D4="Milestone","◆",IF('Project Schedule'!$D4="Phase Header","","■")),""))</x:f>
      </x:c>
      <x:c r="AJ6" s="28" t="str">
        <x:f>IF(OR('Project Schedule'!$G4="",'Project Schedule'!$H4=""),"",IF(AND(AJ$4&gt;='Project Schedule'!$G4,AJ$4&lt;='Project Schedule'!$H4),IF('Project Schedule'!$D4="Milestone","◆",IF('Project Schedule'!$D4="Phase Header","","■")),""))</x:f>
      </x:c>
      <x:c r="AK6" s="28" t="str">
        <x:f>IF(OR('Project Schedule'!$G4="",'Project Schedule'!$H4=""),"",IF(AND(AK$4&gt;='Project Schedule'!$G4,AK$4&lt;='Project Schedule'!$H4),IF('Project Schedule'!$D4="Milestone","◆",IF('Project Schedule'!$D4="Phase Header","","■")),""))</x:f>
      </x:c>
      <x:c r="AL6" s="28" t="str">
        <x:f>IF(OR('Project Schedule'!$G4="",'Project Schedule'!$H4=""),"",IF(AND(AL$4&gt;='Project Schedule'!$G4,AL$4&lt;='Project Schedule'!$H4),IF('Project Schedule'!$D4="Milestone","◆",IF('Project Schedule'!$D4="Phase Header","","■")),""))</x:f>
      </x:c>
      <x:c r="AM6" s="28" t="str">
        <x:f>IF(OR('Project Schedule'!$G4="",'Project Schedule'!$H4=""),"",IF(AND(AM$4&gt;='Project Schedule'!$G4,AM$4&lt;='Project Schedule'!$H4),IF('Project Schedule'!$D4="Milestone","◆",IF('Project Schedule'!$D4="Phase Header","","■")),""))</x:f>
      </x:c>
      <x:c r="AN6" s="28" t="str">
        <x:f>IF(OR('Project Schedule'!$G4="",'Project Schedule'!$H4=""),"",IF(AND(AN$4&gt;='Project Schedule'!$G4,AN$4&lt;='Project Schedule'!$H4),IF('Project Schedule'!$D4="Milestone","◆",IF('Project Schedule'!$D4="Phase Header","","■")),""))</x:f>
      </x:c>
      <x:c r="AO6" s="28" t="str">
        <x:f>IF(OR('Project Schedule'!$G4="",'Project Schedule'!$H4=""),"",IF(AND(AO$4&gt;='Project Schedule'!$G4,AO$4&lt;='Project Schedule'!$H4),IF('Project Schedule'!$D4="Milestone","◆",IF('Project Schedule'!$D4="Phase Header","","■")),""))</x:f>
      </x:c>
      <x:c r="AP6" s="28" t="str">
        <x:f>IF(OR('Project Schedule'!$G4="",'Project Schedule'!$H4=""),"",IF(AND(AP$4&gt;='Project Schedule'!$G4,AP$4&lt;='Project Schedule'!$H4),IF('Project Schedule'!$D4="Milestone","◆",IF('Project Schedule'!$D4="Phase Header","","■")),""))</x:f>
      </x:c>
      <x:c r="AQ6" s="28" t="str">
        <x:f>IF(OR('Project Schedule'!$G4="",'Project Schedule'!$H4=""),"",IF(AND(AQ$4&gt;='Project Schedule'!$G4,AQ$4&lt;='Project Schedule'!$H4),IF('Project Schedule'!$D4="Milestone","◆",IF('Project Schedule'!$D4="Phase Header","","■")),""))</x:f>
      </x:c>
      <x:c r="AR6" s="28" t="str">
        <x:f>IF(OR('Project Schedule'!$G4="",'Project Schedule'!$H4=""),"",IF(AND(AR$4&gt;='Project Schedule'!$G4,AR$4&lt;='Project Schedule'!$H4),IF('Project Schedule'!$D4="Milestone","◆",IF('Project Schedule'!$D4="Phase Header","","■")),""))</x:f>
      </x:c>
    </x:row>
    <x:row r="7" ht="32" customHeight="1">
      <x:c r="A7" s="93" t="str">
        <x:f>'Project Schedule'!A5</x:f>
        <x:v>1.2</x:v>
      </x:c>
      <x:c r="B7" s="93" t="str">
        <x:f>'Project Schedule'!B5</x:f>
        <x:v>Document constraints and acceptance plan</x:v>
      </x:c>
      <x:c r="C7" s="93" t="str">
        <x:f>'Project Schedule'!D5</x:f>
        <x:v>Task</x:v>
      </x:c>
      <x:c r="D7" s="93" t="str">
        <x:f>'Project Schedule'!J5</x:f>
        <x:v>YES</x:v>
      </x:c>
      <x:c r="E7" s="28" t="str">
        <x:f>IF(OR('Project Schedule'!$G5="",'Project Schedule'!$H5=""),"",IF(AND(E$4&gt;='Project Schedule'!$G5,E$4&lt;='Project Schedule'!$H5),IF('Project Schedule'!$D5="Milestone","◆",IF('Project Schedule'!$D5="Phase Header","","■")),""))</x:f>
        <x:v>■</x:v>
      </x:c>
      <x:c r="F7" s="28" t="str">
        <x:f>IF(OR('Project Schedule'!$G5="",'Project Schedule'!$H5=""),"",IF(AND(F$4&gt;='Project Schedule'!$G5,F$4&lt;='Project Schedule'!$H5),IF('Project Schedule'!$D5="Milestone","◆",IF('Project Schedule'!$D5="Phase Header","","■")),""))</x:f>
      </x:c>
      <x:c r="G7" s="28" t="str">
        <x:f>IF(OR('Project Schedule'!$G5="",'Project Schedule'!$H5=""),"",IF(AND(G$4&gt;='Project Schedule'!$G5,G$4&lt;='Project Schedule'!$H5),IF('Project Schedule'!$D5="Milestone","◆",IF('Project Schedule'!$D5="Phase Header","","■")),""))</x:f>
      </x:c>
      <x:c r="H7" s="28" t="str">
        <x:f>IF(OR('Project Schedule'!$G5="",'Project Schedule'!$H5=""),"",IF(AND(H$4&gt;='Project Schedule'!$G5,H$4&lt;='Project Schedule'!$H5),IF('Project Schedule'!$D5="Milestone","◆",IF('Project Schedule'!$D5="Phase Header","","■")),""))</x:f>
      </x:c>
      <x:c r="I7" s="28" t="str">
        <x:f>IF(OR('Project Schedule'!$G5="",'Project Schedule'!$H5=""),"",IF(AND(I$4&gt;='Project Schedule'!$G5,I$4&lt;='Project Schedule'!$H5),IF('Project Schedule'!$D5="Milestone","◆",IF('Project Schedule'!$D5="Phase Header","","■")),""))</x:f>
      </x:c>
      <x:c r="J7" s="28" t="str">
        <x:f>IF(OR('Project Schedule'!$G5="",'Project Schedule'!$H5=""),"",IF(AND(J$4&gt;='Project Schedule'!$G5,J$4&lt;='Project Schedule'!$H5),IF('Project Schedule'!$D5="Milestone","◆",IF('Project Schedule'!$D5="Phase Header","","■")),""))</x:f>
      </x:c>
      <x:c r="K7" s="28" t="str">
        <x:f>IF(OR('Project Schedule'!$G5="",'Project Schedule'!$H5=""),"",IF(AND(K$4&gt;='Project Schedule'!$G5,K$4&lt;='Project Schedule'!$H5),IF('Project Schedule'!$D5="Milestone","◆",IF('Project Schedule'!$D5="Phase Header","","■")),""))</x:f>
      </x:c>
      <x:c r="L7" s="28" t="str">
        <x:f>IF(OR('Project Schedule'!$G5="",'Project Schedule'!$H5=""),"",IF(AND(L$4&gt;='Project Schedule'!$G5,L$4&lt;='Project Schedule'!$H5),IF('Project Schedule'!$D5="Milestone","◆",IF('Project Schedule'!$D5="Phase Header","","■")),""))</x:f>
      </x:c>
      <x:c r="M7" s="28" t="str">
        <x:f>IF(OR('Project Schedule'!$G5="",'Project Schedule'!$H5=""),"",IF(AND(M$4&gt;='Project Schedule'!$G5,M$4&lt;='Project Schedule'!$H5),IF('Project Schedule'!$D5="Milestone","◆",IF('Project Schedule'!$D5="Phase Header","","■")),""))</x:f>
      </x:c>
      <x:c r="N7" s="28" t="str">
        <x:f>IF(OR('Project Schedule'!$G5="",'Project Schedule'!$H5=""),"",IF(AND(N$4&gt;='Project Schedule'!$G5,N$4&lt;='Project Schedule'!$H5),IF('Project Schedule'!$D5="Milestone","◆",IF('Project Schedule'!$D5="Phase Header","","■")),""))</x:f>
      </x:c>
      <x:c r="O7" s="28" t="str">
        <x:f>IF(OR('Project Schedule'!$G5="",'Project Schedule'!$H5=""),"",IF(AND(O$4&gt;='Project Schedule'!$G5,O$4&lt;='Project Schedule'!$H5),IF('Project Schedule'!$D5="Milestone","◆",IF('Project Schedule'!$D5="Phase Header","","■")),""))</x:f>
      </x:c>
      <x:c r="P7" s="28" t="str">
        <x:f>IF(OR('Project Schedule'!$G5="",'Project Schedule'!$H5=""),"",IF(AND(P$4&gt;='Project Schedule'!$G5,P$4&lt;='Project Schedule'!$H5),IF('Project Schedule'!$D5="Milestone","◆",IF('Project Schedule'!$D5="Phase Header","","■")),""))</x:f>
      </x:c>
      <x:c r="Q7" s="28" t="str">
        <x:f>IF(OR('Project Schedule'!$G5="",'Project Schedule'!$H5=""),"",IF(AND(Q$4&gt;='Project Schedule'!$G5,Q$4&lt;='Project Schedule'!$H5),IF('Project Schedule'!$D5="Milestone","◆",IF('Project Schedule'!$D5="Phase Header","","■")),""))</x:f>
      </x:c>
      <x:c r="R7" s="28" t="str">
        <x:f>IF(OR('Project Schedule'!$G5="",'Project Schedule'!$H5=""),"",IF(AND(R$4&gt;='Project Schedule'!$G5,R$4&lt;='Project Schedule'!$H5),IF('Project Schedule'!$D5="Milestone","◆",IF('Project Schedule'!$D5="Phase Header","","■")),""))</x:f>
      </x:c>
      <x:c r="S7" s="28" t="str">
        <x:f>IF(OR('Project Schedule'!$G5="",'Project Schedule'!$H5=""),"",IF(AND(S$4&gt;='Project Schedule'!$G5,S$4&lt;='Project Schedule'!$H5),IF('Project Schedule'!$D5="Milestone","◆",IF('Project Schedule'!$D5="Phase Header","","■")),""))</x:f>
      </x:c>
      <x:c r="T7" s="28" t="str">
        <x:f>IF(OR('Project Schedule'!$G5="",'Project Schedule'!$H5=""),"",IF(AND(T$4&gt;='Project Schedule'!$G5,T$4&lt;='Project Schedule'!$H5),IF('Project Schedule'!$D5="Milestone","◆",IF('Project Schedule'!$D5="Phase Header","","■")),""))</x:f>
      </x:c>
      <x:c r="U7" s="28" t="str">
        <x:f>IF(OR('Project Schedule'!$G5="",'Project Schedule'!$H5=""),"",IF(AND(U$4&gt;='Project Schedule'!$G5,U$4&lt;='Project Schedule'!$H5),IF('Project Schedule'!$D5="Milestone","◆",IF('Project Schedule'!$D5="Phase Header","","■")),""))</x:f>
      </x:c>
      <x:c r="V7" s="28" t="str">
        <x:f>IF(OR('Project Schedule'!$G5="",'Project Schedule'!$H5=""),"",IF(AND(V$4&gt;='Project Schedule'!$G5,V$4&lt;='Project Schedule'!$H5),IF('Project Schedule'!$D5="Milestone","◆",IF('Project Schedule'!$D5="Phase Header","","■")),""))</x:f>
      </x:c>
      <x:c r="W7" s="28" t="str">
        <x:f>IF(OR('Project Schedule'!$G5="",'Project Schedule'!$H5=""),"",IF(AND(W$4&gt;='Project Schedule'!$G5,W$4&lt;='Project Schedule'!$H5),IF('Project Schedule'!$D5="Milestone","◆",IF('Project Schedule'!$D5="Phase Header","","■")),""))</x:f>
      </x:c>
      <x:c r="X7" s="28" t="str">
        <x:f>IF(OR('Project Schedule'!$G5="",'Project Schedule'!$H5=""),"",IF(AND(X$4&gt;='Project Schedule'!$G5,X$4&lt;='Project Schedule'!$H5),IF('Project Schedule'!$D5="Milestone","◆",IF('Project Schedule'!$D5="Phase Header","","■")),""))</x:f>
      </x:c>
      <x:c r="Y7" s="28" t="str">
        <x:f>IF(OR('Project Schedule'!$G5="",'Project Schedule'!$H5=""),"",IF(AND(Y$4&gt;='Project Schedule'!$G5,Y$4&lt;='Project Schedule'!$H5),IF('Project Schedule'!$D5="Milestone","◆",IF('Project Schedule'!$D5="Phase Header","","■")),""))</x:f>
      </x:c>
      <x:c r="Z7" s="28" t="str">
        <x:f>IF(OR('Project Schedule'!$G5="",'Project Schedule'!$H5=""),"",IF(AND(Z$4&gt;='Project Schedule'!$G5,Z$4&lt;='Project Schedule'!$H5),IF('Project Schedule'!$D5="Milestone","◆",IF('Project Schedule'!$D5="Phase Header","","■")),""))</x:f>
      </x:c>
      <x:c r="AA7" s="28" t="str">
        <x:f>IF(OR('Project Schedule'!$G5="",'Project Schedule'!$H5=""),"",IF(AND(AA$4&gt;='Project Schedule'!$G5,AA$4&lt;='Project Schedule'!$H5),IF('Project Schedule'!$D5="Milestone","◆",IF('Project Schedule'!$D5="Phase Header","","■")),""))</x:f>
      </x:c>
      <x:c r="AB7" s="28" t="str">
        <x:f>IF(OR('Project Schedule'!$G5="",'Project Schedule'!$H5=""),"",IF(AND(AB$4&gt;='Project Schedule'!$G5,AB$4&lt;='Project Schedule'!$H5),IF('Project Schedule'!$D5="Milestone","◆",IF('Project Schedule'!$D5="Phase Header","","■")),""))</x:f>
      </x:c>
      <x:c r="AC7" s="28" t="str">
        <x:f>IF(OR('Project Schedule'!$G5="",'Project Schedule'!$H5=""),"",IF(AND(AC$4&gt;='Project Schedule'!$G5,AC$4&lt;='Project Schedule'!$H5),IF('Project Schedule'!$D5="Milestone","◆",IF('Project Schedule'!$D5="Phase Header","","■")),""))</x:f>
      </x:c>
      <x:c r="AD7" s="28" t="str">
        <x:f>IF(OR('Project Schedule'!$G5="",'Project Schedule'!$H5=""),"",IF(AND(AD$4&gt;='Project Schedule'!$G5,AD$4&lt;='Project Schedule'!$H5),IF('Project Schedule'!$D5="Milestone","◆",IF('Project Schedule'!$D5="Phase Header","","■")),""))</x:f>
      </x:c>
      <x:c r="AE7" s="28" t="str">
        <x:f>IF(OR('Project Schedule'!$G5="",'Project Schedule'!$H5=""),"",IF(AND(AE$4&gt;='Project Schedule'!$G5,AE$4&lt;='Project Schedule'!$H5),IF('Project Schedule'!$D5="Milestone","◆",IF('Project Schedule'!$D5="Phase Header","","■")),""))</x:f>
      </x:c>
      <x:c r="AF7" s="28" t="str">
        <x:f>IF(OR('Project Schedule'!$G5="",'Project Schedule'!$H5=""),"",IF(AND(AF$4&gt;='Project Schedule'!$G5,AF$4&lt;='Project Schedule'!$H5),IF('Project Schedule'!$D5="Milestone","◆",IF('Project Schedule'!$D5="Phase Header","","■")),""))</x:f>
      </x:c>
      <x:c r="AG7" s="28" t="str">
        <x:f>IF(OR('Project Schedule'!$G5="",'Project Schedule'!$H5=""),"",IF(AND(AG$4&gt;='Project Schedule'!$G5,AG$4&lt;='Project Schedule'!$H5),IF('Project Schedule'!$D5="Milestone","◆",IF('Project Schedule'!$D5="Phase Header","","■")),""))</x:f>
      </x:c>
      <x:c r="AH7" s="28" t="str">
        <x:f>IF(OR('Project Schedule'!$G5="",'Project Schedule'!$H5=""),"",IF(AND(AH$4&gt;='Project Schedule'!$G5,AH$4&lt;='Project Schedule'!$H5),IF('Project Schedule'!$D5="Milestone","◆",IF('Project Schedule'!$D5="Phase Header","","■")),""))</x:f>
      </x:c>
      <x:c r="AI7" s="28" t="str">
        <x:f>IF(OR('Project Schedule'!$G5="",'Project Schedule'!$H5=""),"",IF(AND(AI$4&gt;='Project Schedule'!$G5,AI$4&lt;='Project Schedule'!$H5),IF('Project Schedule'!$D5="Milestone","◆",IF('Project Schedule'!$D5="Phase Header","","■")),""))</x:f>
      </x:c>
      <x:c r="AJ7" s="28" t="str">
        <x:f>IF(OR('Project Schedule'!$G5="",'Project Schedule'!$H5=""),"",IF(AND(AJ$4&gt;='Project Schedule'!$G5,AJ$4&lt;='Project Schedule'!$H5),IF('Project Schedule'!$D5="Milestone","◆",IF('Project Schedule'!$D5="Phase Header","","■")),""))</x:f>
      </x:c>
      <x:c r="AK7" s="28" t="str">
        <x:f>IF(OR('Project Schedule'!$G5="",'Project Schedule'!$H5=""),"",IF(AND(AK$4&gt;='Project Schedule'!$G5,AK$4&lt;='Project Schedule'!$H5),IF('Project Schedule'!$D5="Milestone","◆",IF('Project Schedule'!$D5="Phase Header","","■")),""))</x:f>
      </x:c>
      <x:c r="AL7" s="28" t="str">
        <x:f>IF(OR('Project Schedule'!$G5="",'Project Schedule'!$H5=""),"",IF(AND(AL$4&gt;='Project Schedule'!$G5,AL$4&lt;='Project Schedule'!$H5),IF('Project Schedule'!$D5="Milestone","◆",IF('Project Schedule'!$D5="Phase Header","","■")),""))</x:f>
      </x:c>
      <x:c r="AM7" s="28" t="str">
        <x:f>IF(OR('Project Schedule'!$G5="",'Project Schedule'!$H5=""),"",IF(AND(AM$4&gt;='Project Schedule'!$G5,AM$4&lt;='Project Schedule'!$H5),IF('Project Schedule'!$D5="Milestone","◆",IF('Project Schedule'!$D5="Phase Header","","■")),""))</x:f>
      </x:c>
      <x:c r="AN7" s="28" t="str">
        <x:f>IF(OR('Project Schedule'!$G5="",'Project Schedule'!$H5=""),"",IF(AND(AN$4&gt;='Project Schedule'!$G5,AN$4&lt;='Project Schedule'!$H5),IF('Project Schedule'!$D5="Milestone","◆",IF('Project Schedule'!$D5="Phase Header","","■")),""))</x:f>
      </x:c>
      <x:c r="AO7" s="28" t="str">
        <x:f>IF(OR('Project Schedule'!$G5="",'Project Schedule'!$H5=""),"",IF(AND(AO$4&gt;='Project Schedule'!$G5,AO$4&lt;='Project Schedule'!$H5),IF('Project Schedule'!$D5="Milestone","◆",IF('Project Schedule'!$D5="Phase Header","","■")),""))</x:f>
      </x:c>
      <x:c r="AP7" s="28" t="str">
        <x:f>IF(OR('Project Schedule'!$G5="",'Project Schedule'!$H5=""),"",IF(AND(AP$4&gt;='Project Schedule'!$G5,AP$4&lt;='Project Schedule'!$H5),IF('Project Schedule'!$D5="Milestone","◆",IF('Project Schedule'!$D5="Phase Header","","■")),""))</x:f>
      </x:c>
      <x:c r="AQ7" s="28" t="str">
        <x:f>IF(OR('Project Schedule'!$G5="",'Project Schedule'!$H5=""),"",IF(AND(AQ$4&gt;='Project Schedule'!$G5,AQ$4&lt;='Project Schedule'!$H5),IF('Project Schedule'!$D5="Milestone","◆",IF('Project Schedule'!$D5="Phase Header","","■")),""))</x:f>
      </x:c>
      <x:c r="AR7" s="28" t="str">
        <x:f>IF(OR('Project Schedule'!$G5="",'Project Schedule'!$H5=""),"",IF(AND(AR$4&gt;='Project Schedule'!$G5,AR$4&lt;='Project Schedule'!$H5),IF('Project Schedule'!$D5="Milestone","◆",IF('Project Schedule'!$D5="Phase Header","","■")),""))</x:f>
      </x:c>
    </x:row>
    <x:row r="8" ht="32" customHeight="1">
      <x:c r="A8" s="93" t="str">
        <x:f>'Project Schedule'!A6</x:f>
        <x:v>1.3</x:v>
      </x:c>
      <x:c r="B8" s="93" t="str">
        <x:f>'Project Schedule'!B6</x:f>
        <x:v>Scope and delivery baseline approved</x:v>
      </x:c>
      <x:c r="C8" s="93" t="str">
        <x:f>'Project Schedule'!D6</x:f>
        <x:v>Milestone</x:v>
      </x:c>
      <x:c r="D8" s="93" t="n">
        <x:f>'Project Schedule'!J6</x:f>
        <x:v>0</x:v>
      </x:c>
      <x:c r="E8" s="28" t="str">
        <x:f>IF(OR('Project Schedule'!$G6="",'Project Schedule'!$H6=""),"",IF(AND(E$4&gt;='Project Schedule'!$G6,E$4&lt;='Project Schedule'!$H6),IF('Project Schedule'!$D6="Milestone","◆",IF('Project Schedule'!$D6="Phase Header","","■")),""))</x:f>
        <x:v>◆</x:v>
      </x:c>
      <x:c r="F8" s="28" t="str">
        <x:f>IF(OR('Project Schedule'!$G6="",'Project Schedule'!$H6=""),"",IF(AND(F$4&gt;='Project Schedule'!$G6,F$4&lt;='Project Schedule'!$H6),IF('Project Schedule'!$D6="Milestone","◆",IF('Project Schedule'!$D6="Phase Header","","■")),""))</x:f>
      </x:c>
      <x:c r="G8" s="28" t="str">
        <x:f>IF(OR('Project Schedule'!$G6="",'Project Schedule'!$H6=""),"",IF(AND(G$4&gt;='Project Schedule'!$G6,G$4&lt;='Project Schedule'!$H6),IF('Project Schedule'!$D6="Milestone","◆",IF('Project Schedule'!$D6="Phase Header","","■")),""))</x:f>
      </x:c>
      <x:c r="H8" s="28" t="str">
        <x:f>IF(OR('Project Schedule'!$G6="",'Project Schedule'!$H6=""),"",IF(AND(H$4&gt;='Project Schedule'!$G6,H$4&lt;='Project Schedule'!$H6),IF('Project Schedule'!$D6="Milestone","◆",IF('Project Schedule'!$D6="Phase Header","","■")),""))</x:f>
      </x:c>
      <x:c r="I8" s="28" t="str">
        <x:f>IF(OR('Project Schedule'!$G6="",'Project Schedule'!$H6=""),"",IF(AND(I$4&gt;='Project Schedule'!$G6,I$4&lt;='Project Schedule'!$H6),IF('Project Schedule'!$D6="Milestone","◆",IF('Project Schedule'!$D6="Phase Header","","■")),""))</x:f>
      </x:c>
      <x:c r="J8" s="28" t="str">
        <x:f>IF(OR('Project Schedule'!$G6="",'Project Schedule'!$H6=""),"",IF(AND(J$4&gt;='Project Schedule'!$G6,J$4&lt;='Project Schedule'!$H6),IF('Project Schedule'!$D6="Milestone","◆",IF('Project Schedule'!$D6="Phase Header","","■")),""))</x:f>
      </x:c>
      <x:c r="K8" s="28" t="str">
        <x:f>IF(OR('Project Schedule'!$G6="",'Project Schedule'!$H6=""),"",IF(AND(K$4&gt;='Project Schedule'!$G6,K$4&lt;='Project Schedule'!$H6),IF('Project Schedule'!$D6="Milestone","◆",IF('Project Schedule'!$D6="Phase Header","","■")),""))</x:f>
      </x:c>
      <x:c r="L8" s="28" t="str">
        <x:f>IF(OR('Project Schedule'!$G6="",'Project Schedule'!$H6=""),"",IF(AND(L$4&gt;='Project Schedule'!$G6,L$4&lt;='Project Schedule'!$H6),IF('Project Schedule'!$D6="Milestone","◆",IF('Project Schedule'!$D6="Phase Header","","■")),""))</x:f>
      </x:c>
      <x:c r="M8" s="28" t="str">
        <x:f>IF(OR('Project Schedule'!$G6="",'Project Schedule'!$H6=""),"",IF(AND(M$4&gt;='Project Schedule'!$G6,M$4&lt;='Project Schedule'!$H6),IF('Project Schedule'!$D6="Milestone","◆",IF('Project Schedule'!$D6="Phase Header","","■")),""))</x:f>
      </x:c>
      <x:c r="N8" s="28" t="str">
        <x:f>IF(OR('Project Schedule'!$G6="",'Project Schedule'!$H6=""),"",IF(AND(N$4&gt;='Project Schedule'!$G6,N$4&lt;='Project Schedule'!$H6),IF('Project Schedule'!$D6="Milestone","◆",IF('Project Schedule'!$D6="Phase Header","","■")),""))</x:f>
      </x:c>
      <x:c r="O8" s="28" t="str">
        <x:f>IF(OR('Project Schedule'!$G6="",'Project Schedule'!$H6=""),"",IF(AND(O$4&gt;='Project Schedule'!$G6,O$4&lt;='Project Schedule'!$H6),IF('Project Schedule'!$D6="Milestone","◆",IF('Project Schedule'!$D6="Phase Header","","■")),""))</x:f>
      </x:c>
      <x:c r="P8" s="28" t="str">
        <x:f>IF(OR('Project Schedule'!$G6="",'Project Schedule'!$H6=""),"",IF(AND(P$4&gt;='Project Schedule'!$G6,P$4&lt;='Project Schedule'!$H6),IF('Project Schedule'!$D6="Milestone","◆",IF('Project Schedule'!$D6="Phase Header","","■")),""))</x:f>
      </x:c>
      <x:c r="Q8" s="28" t="str">
        <x:f>IF(OR('Project Schedule'!$G6="",'Project Schedule'!$H6=""),"",IF(AND(Q$4&gt;='Project Schedule'!$G6,Q$4&lt;='Project Schedule'!$H6),IF('Project Schedule'!$D6="Milestone","◆",IF('Project Schedule'!$D6="Phase Header","","■")),""))</x:f>
      </x:c>
      <x:c r="R8" s="28" t="str">
        <x:f>IF(OR('Project Schedule'!$G6="",'Project Schedule'!$H6=""),"",IF(AND(R$4&gt;='Project Schedule'!$G6,R$4&lt;='Project Schedule'!$H6),IF('Project Schedule'!$D6="Milestone","◆",IF('Project Schedule'!$D6="Phase Header","","■")),""))</x:f>
      </x:c>
      <x:c r="S8" s="28" t="str">
        <x:f>IF(OR('Project Schedule'!$G6="",'Project Schedule'!$H6=""),"",IF(AND(S$4&gt;='Project Schedule'!$G6,S$4&lt;='Project Schedule'!$H6),IF('Project Schedule'!$D6="Milestone","◆",IF('Project Schedule'!$D6="Phase Header","","■")),""))</x:f>
      </x:c>
      <x:c r="T8" s="28" t="str">
        <x:f>IF(OR('Project Schedule'!$G6="",'Project Schedule'!$H6=""),"",IF(AND(T$4&gt;='Project Schedule'!$G6,T$4&lt;='Project Schedule'!$H6),IF('Project Schedule'!$D6="Milestone","◆",IF('Project Schedule'!$D6="Phase Header","","■")),""))</x:f>
      </x:c>
      <x:c r="U8" s="28" t="str">
        <x:f>IF(OR('Project Schedule'!$G6="",'Project Schedule'!$H6=""),"",IF(AND(U$4&gt;='Project Schedule'!$G6,U$4&lt;='Project Schedule'!$H6),IF('Project Schedule'!$D6="Milestone","◆",IF('Project Schedule'!$D6="Phase Header","","■")),""))</x:f>
      </x:c>
      <x:c r="V8" s="28" t="str">
        <x:f>IF(OR('Project Schedule'!$G6="",'Project Schedule'!$H6=""),"",IF(AND(V$4&gt;='Project Schedule'!$G6,V$4&lt;='Project Schedule'!$H6),IF('Project Schedule'!$D6="Milestone","◆",IF('Project Schedule'!$D6="Phase Header","","■")),""))</x:f>
      </x:c>
      <x:c r="W8" s="28" t="str">
        <x:f>IF(OR('Project Schedule'!$G6="",'Project Schedule'!$H6=""),"",IF(AND(W$4&gt;='Project Schedule'!$G6,W$4&lt;='Project Schedule'!$H6),IF('Project Schedule'!$D6="Milestone","◆",IF('Project Schedule'!$D6="Phase Header","","■")),""))</x:f>
      </x:c>
      <x:c r="X8" s="28" t="str">
        <x:f>IF(OR('Project Schedule'!$G6="",'Project Schedule'!$H6=""),"",IF(AND(X$4&gt;='Project Schedule'!$G6,X$4&lt;='Project Schedule'!$H6),IF('Project Schedule'!$D6="Milestone","◆",IF('Project Schedule'!$D6="Phase Header","","■")),""))</x:f>
      </x:c>
      <x:c r="Y8" s="28" t="str">
        <x:f>IF(OR('Project Schedule'!$G6="",'Project Schedule'!$H6=""),"",IF(AND(Y$4&gt;='Project Schedule'!$G6,Y$4&lt;='Project Schedule'!$H6),IF('Project Schedule'!$D6="Milestone","◆",IF('Project Schedule'!$D6="Phase Header","","■")),""))</x:f>
      </x:c>
      <x:c r="Z8" s="28" t="str">
        <x:f>IF(OR('Project Schedule'!$G6="",'Project Schedule'!$H6=""),"",IF(AND(Z$4&gt;='Project Schedule'!$G6,Z$4&lt;='Project Schedule'!$H6),IF('Project Schedule'!$D6="Milestone","◆",IF('Project Schedule'!$D6="Phase Header","","■")),""))</x:f>
      </x:c>
      <x:c r="AA8" s="28" t="str">
        <x:f>IF(OR('Project Schedule'!$G6="",'Project Schedule'!$H6=""),"",IF(AND(AA$4&gt;='Project Schedule'!$G6,AA$4&lt;='Project Schedule'!$H6),IF('Project Schedule'!$D6="Milestone","◆",IF('Project Schedule'!$D6="Phase Header","","■")),""))</x:f>
      </x:c>
      <x:c r="AB8" s="28" t="str">
        <x:f>IF(OR('Project Schedule'!$G6="",'Project Schedule'!$H6=""),"",IF(AND(AB$4&gt;='Project Schedule'!$G6,AB$4&lt;='Project Schedule'!$H6),IF('Project Schedule'!$D6="Milestone","◆",IF('Project Schedule'!$D6="Phase Header","","■")),""))</x:f>
      </x:c>
      <x:c r="AC8" s="28" t="str">
        <x:f>IF(OR('Project Schedule'!$G6="",'Project Schedule'!$H6=""),"",IF(AND(AC$4&gt;='Project Schedule'!$G6,AC$4&lt;='Project Schedule'!$H6),IF('Project Schedule'!$D6="Milestone","◆",IF('Project Schedule'!$D6="Phase Header","","■")),""))</x:f>
      </x:c>
      <x:c r="AD8" s="28" t="str">
        <x:f>IF(OR('Project Schedule'!$G6="",'Project Schedule'!$H6=""),"",IF(AND(AD$4&gt;='Project Schedule'!$G6,AD$4&lt;='Project Schedule'!$H6),IF('Project Schedule'!$D6="Milestone","◆",IF('Project Schedule'!$D6="Phase Header","","■")),""))</x:f>
      </x:c>
      <x:c r="AE8" s="28" t="str">
        <x:f>IF(OR('Project Schedule'!$G6="",'Project Schedule'!$H6=""),"",IF(AND(AE$4&gt;='Project Schedule'!$G6,AE$4&lt;='Project Schedule'!$H6),IF('Project Schedule'!$D6="Milestone","◆",IF('Project Schedule'!$D6="Phase Header","","■")),""))</x:f>
      </x:c>
      <x:c r="AF8" s="28" t="str">
        <x:f>IF(OR('Project Schedule'!$G6="",'Project Schedule'!$H6=""),"",IF(AND(AF$4&gt;='Project Schedule'!$G6,AF$4&lt;='Project Schedule'!$H6),IF('Project Schedule'!$D6="Milestone","◆",IF('Project Schedule'!$D6="Phase Header","","■")),""))</x:f>
      </x:c>
      <x:c r="AG8" s="28" t="str">
        <x:f>IF(OR('Project Schedule'!$G6="",'Project Schedule'!$H6=""),"",IF(AND(AG$4&gt;='Project Schedule'!$G6,AG$4&lt;='Project Schedule'!$H6),IF('Project Schedule'!$D6="Milestone","◆",IF('Project Schedule'!$D6="Phase Header","","■")),""))</x:f>
      </x:c>
      <x:c r="AH8" s="28" t="str">
        <x:f>IF(OR('Project Schedule'!$G6="",'Project Schedule'!$H6=""),"",IF(AND(AH$4&gt;='Project Schedule'!$G6,AH$4&lt;='Project Schedule'!$H6),IF('Project Schedule'!$D6="Milestone","◆",IF('Project Schedule'!$D6="Phase Header","","■")),""))</x:f>
      </x:c>
      <x:c r="AI8" s="28" t="str">
        <x:f>IF(OR('Project Schedule'!$G6="",'Project Schedule'!$H6=""),"",IF(AND(AI$4&gt;='Project Schedule'!$G6,AI$4&lt;='Project Schedule'!$H6),IF('Project Schedule'!$D6="Milestone","◆",IF('Project Schedule'!$D6="Phase Header","","■")),""))</x:f>
      </x:c>
      <x:c r="AJ8" s="28" t="str">
        <x:f>IF(OR('Project Schedule'!$G6="",'Project Schedule'!$H6=""),"",IF(AND(AJ$4&gt;='Project Schedule'!$G6,AJ$4&lt;='Project Schedule'!$H6),IF('Project Schedule'!$D6="Milestone","◆",IF('Project Schedule'!$D6="Phase Header","","■")),""))</x:f>
      </x:c>
      <x:c r="AK8" s="28" t="str">
        <x:f>IF(OR('Project Schedule'!$G6="",'Project Schedule'!$H6=""),"",IF(AND(AK$4&gt;='Project Schedule'!$G6,AK$4&lt;='Project Schedule'!$H6),IF('Project Schedule'!$D6="Milestone","◆",IF('Project Schedule'!$D6="Phase Header","","■")),""))</x:f>
      </x:c>
      <x:c r="AL8" s="28" t="str">
        <x:f>IF(OR('Project Schedule'!$G6="",'Project Schedule'!$H6=""),"",IF(AND(AL$4&gt;='Project Schedule'!$G6,AL$4&lt;='Project Schedule'!$H6),IF('Project Schedule'!$D6="Milestone","◆",IF('Project Schedule'!$D6="Phase Header","","■")),""))</x:f>
      </x:c>
      <x:c r="AM8" s="28" t="str">
        <x:f>IF(OR('Project Schedule'!$G6="",'Project Schedule'!$H6=""),"",IF(AND(AM$4&gt;='Project Schedule'!$G6,AM$4&lt;='Project Schedule'!$H6),IF('Project Schedule'!$D6="Milestone","◆",IF('Project Schedule'!$D6="Phase Header","","■")),""))</x:f>
      </x:c>
      <x:c r="AN8" s="28" t="str">
        <x:f>IF(OR('Project Schedule'!$G6="",'Project Schedule'!$H6=""),"",IF(AND(AN$4&gt;='Project Schedule'!$G6,AN$4&lt;='Project Schedule'!$H6),IF('Project Schedule'!$D6="Milestone","◆",IF('Project Schedule'!$D6="Phase Header","","■")),""))</x:f>
      </x:c>
      <x:c r="AO8" s="28" t="str">
        <x:f>IF(OR('Project Schedule'!$G6="",'Project Schedule'!$H6=""),"",IF(AND(AO$4&gt;='Project Schedule'!$G6,AO$4&lt;='Project Schedule'!$H6),IF('Project Schedule'!$D6="Milestone","◆",IF('Project Schedule'!$D6="Phase Header","","■")),""))</x:f>
      </x:c>
      <x:c r="AP8" s="28" t="str">
        <x:f>IF(OR('Project Schedule'!$G6="",'Project Schedule'!$H6=""),"",IF(AND(AP$4&gt;='Project Schedule'!$G6,AP$4&lt;='Project Schedule'!$H6),IF('Project Schedule'!$D6="Milestone","◆",IF('Project Schedule'!$D6="Phase Header","","■")),""))</x:f>
      </x:c>
      <x:c r="AQ8" s="28" t="str">
        <x:f>IF(OR('Project Schedule'!$G6="",'Project Schedule'!$H6=""),"",IF(AND(AQ$4&gt;='Project Schedule'!$G6,AQ$4&lt;='Project Schedule'!$H6),IF('Project Schedule'!$D6="Milestone","◆",IF('Project Schedule'!$D6="Phase Header","","■")),""))</x:f>
      </x:c>
      <x:c r="AR8" s="28" t="str">
        <x:f>IF(OR('Project Schedule'!$G6="",'Project Schedule'!$H6=""),"",IF(AND(AR$4&gt;='Project Schedule'!$G6,AR$4&lt;='Project Schedule'!$H6),IF('Project Schedule'!$D6="Milestone","◆",IF('Project Schedule'!$D6="Phase Header","","■")),""))</x:f>
      </x:c>
    </x:row>
    <x:row r="9" ht="32" customHeight="1">
      <x:c r="A9" s="93" t="str">
        <x:f>'Project Schedule'!A7</x:f>
        <x:v>2.0</x:v>
      </x:c>
      <x:c r="B9" s="93" t="str">
        <x:f>'Project Schedule'!B7</x:f>
        <x:v>INTAKE AND SCHEDULING SOLUTION</x:v>
      </x:c>
      <x:c r="C9" s="93" t="str">
        <x:f>'Project Schedule'!D7</x:f>
        <x:v>Phase Header</x:v>
      </x:c>
      <x:c r="D9" s="93" t="n">
        <x:f>'Project Schedule'!J7</x:f>
        <x:v>0</x:v>
      </x:c>
      <x:c r="E9" s="28" t="str">
        <x:f>IF(OR('Project Schedule'!$G7="",'Project Schedule'!$H7=""),"",IF(AND(E$4&gt;='Project Schedule'!$G7,E$4&lt;='Project Schedule'!$H7),IF('Project Schedule'!$D7="Milestone","◆",IF('Project Schedule'!$D7="Phase Header","","■")),""))</x:f>
      </x:c>
      <x:c r="F9" s="28" t="str">
        <x:f>IF(OR('Project Schedule'!$G7="",'Project Schedule'!$H7=""),"",IF(AND(F$4&gt;='Project Schedule'!$G7,F$4&lt;='Project Schedule'!$H7),IF('Project Schedule'!$D7="Milestone","◆",IF('Project Schedule'!$D7="Phase Header","","■")),""))</x:f>
      </x:c>
      <x:c r="G9" s="28" t="str">
        <x:f>IF(OR('Project Schedule'!$G7="",'Project Schedule'!$H7=""),"",IF(AND(G$4&gt;='Project Schedule'!$G7,G$4&lt;='Project Schedule'!$H7),IF('Project Schedule'!$D7="Milestone","◆",IF('Project Schedule'!$D7="Phase Header","","■")),""))</x:f>
      </x:c>
      <x:c r="H9" s="28" t="str">
        <x:f>IF(OR('Project Schedule'!$G7="",'Project Schedule'!$H7=""),"",IF(AND(H$4&gt;='Project Schedule'!$G7,H$4&lt;='Project Schedule'!$H7),IF('Project Schedule'!$D7="Milestone","◆",IF('Project Schedule'!$D7="Phase Header","","■")),""))</x:f>
      </x:c>
      <x:c r="I9" s="28" t="str">
        <x:f>IF(OR('Project Schedule'!$G7="",'Project Schedule'!$H7=""),"",IF(AND(I$4&gt;='Project Schedule'!$G7,I$4&lt;='Project Schedule'!$H7),IF('Project Schedule'!$D7="Milestone","◆",IF('Project Schedule'!$D7="Phase Header","","■")),""))</x:f>
      </x:c>
      <x:c r="J9" s="28" t="str">
        <x:f>IF(OR('Project Schedule'!$G7="",'Project Schedule'!$H7=""),"",IF(AND(J$4&gt;='Project Schedule'!$G7,J$4&lt;='Project Schedule'!$H7),IF('Project Schedule'!$D7="Milestone","◆",IF('Project Schedule'!$D7="Phase Header","","■")),""))</x:f>
      </x:c>
      <x:c r="K9" s="28" t="str">
        <x:f>IF(OR('Project Schedule'!$G7="",'Project Schedule'!$H7=""),"",IF(AND(K$4&gt;='Project Schedule'!$G7,K$4&lt;='Project Schedule'!$H7),IF('Project Schedule'!$D7="Milestone","◆",IF('Project Schedule'!$D7="Phase Header","","■")),""))</x:f>
      </x:c>
      <x:c r="L9" s="28" t="str">
        <x:f>IF(OR('Project Schedule'!$G7="",'Project Schedule'!$H7=""),"",IF(AND(L$4&gt;='Project Schedule'!$G7,L$4&lt;='Project Schedule'!$H7),IF('Project Schedule'!$D7="Milestone","◆",IF('Project Schedule'!$D7="Phase Header","","■")),""))</x:f>
      </x:c>
      <x:c r="M9" s="28" t="str">
        <x:f>IF(OR('Project Schedule'!$G7="",'Project Schedule'!$H7=""),"",IF(AND(M$4&gt;='Project Schedule'!$G7,M$4&lt;='Project Schedule'!$H7),IF('Project Schedule'!$D7="Milestone","◆",IF('Project Schedule'!$D7="Phase Header","","■")),""))</x:f>
      </x:c>
      <x:c r="N9" s="28" t="str">
        <x:f>IF(OR('Project Schedule'!$G7="",'Project Schedule'!$H7=""),"",IF(AND(N$4&gt;='Project Schedule'!$G7,N$4&lt;='Project Schedule'!$H7),IF('Project Schedule'!$D7="Milestone","◆",IF('Project Schedule'!$D7="Phase Header","","■")),""))</x:f>
      </x:c>
      <x:c r="O9" s="28" t="str">
        <x:f>IF(OR('Project Schedule'!$G7="",'Project Schedule'!$H7=""),"",IF(AND(O$4&gt;='Project Schedule'!$G7,O$4&lt;='Project Schedule'!$H7),IF('Project Schedule'!$D7="Milestone","◆",IF('Project Schedule'!$D7="Phase Header","","■")),""))</x:f>
      </x:c>
      <x:c r="P9" s="28" t="str">
        <x:f>IF(OR('Project Schedule'!$G7="",'Project Schedule'!$H7=""),"",IF(AND(P$4&gt;='Project Schedule'!$G7,P$4&lt;='Project Schedule'!$H7),IF('Project Schedule'!$D7="Milestone","◆",IF('Project Schedule'!$D7="Phase Header","","■")),""))</x:f>
      </x:c>
      <x:c r="Q9" s="28" t="str">
        <x:f>IF(OR('Project Schedule'!$G7="",'Project Schedule'!$H7=""),"",IF(AND(Q$4&gt;='Project Schedule'!$G7,Q$4&lt;='Project Schedule'!$H7),IF('Project Schedule'!$D7="Milestone","◆",IF('Project Schedule'!$D7="Phase Header","","■")),""))</x:f>
      </x:c>
      <x:c r="R9" s="28" t="str">
        <x:f>IF(OR('Project Schedule'!$G7="",'Project Schedule'!$H7=""),"",IF(AND(R$4&gt;='Project Schedule'!$G7,R$4&lt;='Project Schedule'!$H7),IF('Project Schedule'!$D7="Milestone","◆",IF('Project Schedule'!$D7="Phase Header","","■")),""))</x:f>
      </x:c>
      <x:c r="S9" s="28" t="str">
        <x:f>IF(OR('Project Schedule'!$G7="",'Project Schedule'!$H7=""),"",IF(AND(S$4&gt;='Project Schedule'!$G7,S$4&lt;='Project Schedule'!$H7),IF('Project Schedule'!$D7="Milestone","◆",IF('Project Schedule'!$D7="Phase Header","","■")),""))</x:f>
      </x:c>
      <x:c r="T9" s="28" t="str">
        <x:f>IF(OR('Project Schedule'!$G7="",'Project Schedule'!$H7=""),"",IF(AND(T$4&gt;='Project Schedule'!$G7,T$4&lt;='Project Schedule'!$H7),IF('Project Schedule'!$D7="Milestone","◆",IF('Project Schedule'!$D7="Phase Header","","■")),""))</x:f>
      </x:c>
      <x:c r="U9" s="28" t="str">
        <x:f>IF(OR('Project Schedule'!$G7="",'Project Schedule'!$H7=""),"",IF(AND(U$4&gt;='Project Schedule'!$G7,U$4&lt;='Project Schedule'!$H7),IF('Project Schedule'!$D7="Milestone","◆",IF('Project Schedule'!$D7="Phase Header","","■")),""))</x:f>
      </x:c>
      <x:c r="V9" s="28" t="str">
        <x:f>IF(OR('Project Schedule'!$G7="",'Project Schedule'!$H7=""),"",IF(AND(V$4&gt;='Project Schedule'!$G7,V$4&lt;='Project Schedule'!$H7),IF('Project Schedule'!$D7="Milestone","◆",IF('Project Schedule'!$D7="Phase Header","","■")),""))</x:f>
      </x:c>
      <x:c r="W9" s="28" t="str">
        <x:f>IF(OR('Project Schedule'!$G7="",'Project Schedule'!$H7=""),"",IF(AND(W$4&gt;='Project Schedule'!$G7,W$4&lt;='Project Schedule'!$H7),IF('Project Schedule'!$D7="Milestone","◆",IF('Project Schedule'!$D7="Phase Header","","■")),""))</x:f>
      </x:c>
      <x:c r="X9" s="28" t="str">
        <x:f>IF(OR('Project Schedule'!$G7="",'Project Schedule'!$H7=""),"",IF(AND(X$4&gt;='Project Schedule'!$G7,X$4&lt;='Project Schedule'!$H7),IF('Project Schedule'!$D7="Milestone","◆",IF('Project Schedule'!$D7="Phase Header","","■")),""))</x:f>
      </x:c>
      <x:c r="Y9" s="28" t="str">
        <x:f>IF(OR('Project Schedule'!$G7="",'Project Schedule'!$H7=""),"",IF(AND(Y$4&gt;='Project Schedule'!$G7,Y$4&lt;='Project Schedule'!$H7),IF('Project Schedule'!$D7="Milestone","◆",IF('Project Schedule'!$D7="Phase Header","","■")),""))</x:f>
      </x:c>
      <x:c r="Z9" s="28" t="str">
        <x:f>IF(OR('Project Schedule'!$G7="",'Project Schedule'!$H7=""),"",IF(AND(Z$4&gt;='Project Schedule'!$G7,Z$4&lt;='Project Schedule'!$H7),IF('Project Schedule'!$D7="Milestone","◆",IF('Project Schedule'!$D7="Phase Header","","■")),""))</x:f>
      </x:c>
      <x:c r="AA9" s="28" t="str">
        <x:f>IF(OR('Project Schedule'!$G7="",'Project Schedule'!$H7=""),"",IF(AND(AA$4&gt;='Project Schedule'!$G7,AA$4&lt;='Project Schedule'!$H7),IF('Project Schedule'!$D7="Milestone","◆",IF('Project Schedule'!$D7="Phase Header","","■")),""))</x:f>
      </x:c>
      <x:c r="AB9" s="28" t="str">
        <x:f>IF(OR('Project Schedule'!$G7="",'Project Schedule'!$H7=""),"",IF(AND(AB$4&gt;='Project Schedule'!$G7,AB$4&lt;='Project Schedule'!$H7),IF('Project Schedule'!$D7="Milestone","◆",IF('Project Schedule'!$D7="Phase Header","","■")),""))</x:f>
      </x:c>
      <x:c r="AC9" s="28" t="str">
        <x:f>IF(OR('Project Schedule'!$G7="",'Project Schedule'!$H7=""),"",IF(AND(AC$4&gt;='Project Schedule'!$G7,AC$4&lt;='Project Schedule'!$H7),IF('Project Schedule'!$D7="Milestone","◆",IF('Project Schedule'!$D7="Phase Header","","■")),""))</x:f>
      </x:c>
      <x:c r="AD9" s="28" t="str">
        <x:f>IF(OR('Project Schedule'!$G7="",'Project Schedule'!$H7=""),"",IF(AND(AD$4&gt;='Project Schedule'!$G7,AD$4&lt;='Project Schedule'!$H7),IF('Project Schedule'!$D7="Milestone","◆",IF('Project Schedule'!$D7="Phase Header","","■")),""))</x:f>
      </x:c>
      <x:c r="AE9" s="28" t="str">
        <x:f>IF(OR('Project Schedule'!$G7="",'Project Schedule'!$H7=""),"",IF(AND(AE$4&gt;='Project Schedule'!$G7,AE$4&lt;='Project Schedule'!$H7),IF('Project Schedule'!$D7="Milestone","◆",IF('Project Schedule'!$D7="Phase Header","","■")),""))</x:f>
      </x:c>
      <x:c r="AF9" s="28" t="str">
        <x:f>IF(OR('Project Schedule'!$G7="",'Project Schedule'!$H7=""),"",IF(AND(AF$4&gt;='Project Schedule'!$G7,AF$4&lt;='Project Schedule'!$H7),IF('Project Schedule'!$D7="Milestone","◆",IF('Project Schedule'!$D7="Phase Header","","■")),""))</x:f>
      </x:c>
      <x:c r="AG9" s="28" t="str">
        <x:f>IF(OR('Project Schedule'!$G7="",'Project Schedule'!$H7=""),"",IF(AND(AG$4&gt;='Project Schedule'!$G7,AG$4&lt;='Project Schedule'!$H7),IF('Project Schedule'!$D7="Milestone","◆",IF('Project Schedule'!$D7="Phase Header","","■")),""))</x:f>
      </x:c>
      <x:c r="AH9" s="28" t="str">
        <x:f>IF(OR('Project Schedule'!$G7="",'Project Schedule'!$H7=""),"",IF(AND(AH$4&gt;='Project Schedule'!$G7,AH$4&lt;='Project Schedule'!$H7),IF('Project Schedule'!$D7="Milestone","◆",IF('Project Schedule'!$D7="Phase Header","","■")),""))</x:f>
      </x:c>
      <x:c r="AI9" s="28" t="str">
        <x:f>IF(OR('Project Schedule'!$G7="",'Project Schedule'!$H7=""),"",IF(AND(AI$4&gt;='Project Schedule'!$G7,AI$4&lt;='Project Schedule'!$H7),IF('Project Schedule'!$D7="Milestone","◆",IF('Project Schedule'!$D7="Phase Header","","■")),""))</x:f>
      </x:c>
      <x:c r="AJ9" s="28" t="str">
        <x:f>IF(OR('Project Schedule'!$G7="",'Project Schedule'!$H7=""),"",IF(AND(AJ$4&gt;='Project Schedule'!$G7,AJ$4&lt;='Project Schedule'!$H7),IF('Project Schedule'!$D7="Milestone","◆",IF('Project Schedule'!$D7="Phase Header","","■")),""))</x:f>
      </x:c>
      <x:c r="AK9" s="28" t="str">
        <x:f>IF(OR('Project Schedule'!$G7="",'Project Schedule'!$H7=""),"",IF(AND(AK$4&gt;='Project Schedule'!$G7,AK$4&lt;='Project Schedule'!$H7),IF('Project Schedule'!$D7="Milestone","◆",IF('Project Schedule'!$D7="Phase Header","","■")),""))</x:f>
      </x:c>
      <x:c r="AL9" s="28" t="str">
        <x:f>IF(OR('Project Schedule'!$G7="",'Project Schedule'!$H7=""),"",IF(AND(AL$4&gt;='Project Schedule'!$G7,AL$4&lt;='Project Schedule'!$H7),IF('Project Schedule'!$D7="Milestone","◆",IF('Project Schedule'!$D7="Phase Header","","■")),""))</x:f>
      </x:c>
      <x:c r="AM9" s="28" t="str">
        <x:f>IF(OR('Project Schedule'!$G7="",'Project Schedule'!$H7=""),"",IF(AND(AM$4&gt;='Project Schedule'!$G7,AM$4&lt;='Project Schedule'!$H7),IF('Project Schedule'!$D7="Milestone","◆",IF('Project Schedule'!$D7="Phase Header","","■")),""))</x:f>
      </x:c>
      <x:c r="AN9" s="28" t="str">
        <x:f>IF(OR('Project Schedule'!$G7="",'Project Schedule'!$H7=""),"",IF(AND(AN$4&gt;='Project Schedule'!$G7,AN$4&lt;='Project Schedule'!$H7),IF('Project Schedule'!$D7="Milestone","◆",IF('Project Schedule'!$D7="Phase Header","","■")),""))</x:f>
      </x:c>
      <x:c r="AO9" s="28" t="str">
        <x:f>IF(OR('Project Schedule'!$G7="",'Project Schedule'!$H7=""),"",IF(AND(AO$4&gt;='Project Schedule'!$G7,AO$4&lt;='Project Schedule'!$H7),IF('Project Schedule'!$D7="Milestone","◆",IF('Project Schedule'!$D7="Phase Header","","■")),""))</x:f>
      </x:c>
      <x:c r="AP9" s="28" t="str">
        <x:f>IF(OR('Project Schedule'!$G7="",'Project Schedule'!$H7=""),"",IF(AND(AP$4&gt;='Project Schedule'!$G7,AP$4&lt;='Project Schedule'!$H7),IF('Project Schedule'!$D7="Milestone","◆",IF('Project Schedule'!$D7="Phase Header","","■")),""))</x:f>
      </x:c>
      <x:c r="AQ9" s="28" t="str">
        <x:f>IF(OR('Project Schedule'!$G7="",'Project Schedule'!$H7=""),"",IF(AND(AQ$4&gt;='Project Schedule'!$G7,AQ$4&lt;='Project Schedule'!$H7),IF('Project Schedule'!$D7="Milestone","◆",IF('Project Schedule'!$D7="Phase Header","","■")),""))</x:f>
      </x:c>
      <x:c r="AR9" s="28" t="str">
        <x:f>IF(OR('Project Schedule'!$G7="",'Project Schedule'!$H7=""),"",IF(AND(AR$4&gt;='Project Schedule'!$G7,AR$4&lt;='Project Schedule'!$H7),IF('Project Schedule'!$D7="Milestone","◆",IF('Project Schedule'!$D7="Phase Header","","■")),""))</x:f>
      </x:c>
    </x:row>
    <x:row r="10" ht="32" customHeight="1">
      <x:c r="A10" s="93" t="str">
        <x:f>'Project Schedule'!A8</x:f>
        <x:v>2.1</x:v>
      </x:c>
      <x:c r="B10" s="93" t="str">
        <x:f>'Project Schedule'!B8</x:f>
        <x:v>Configure intake and retained-data workflow</x:v>
      </x:c>
      <x:c r="C10" s="93" t="str">
        <x:f>'Project Schedule'!D8</x:f>
        <x:v>Task</x:v>
      </x:c>
      <x:c r="D10" s="93" t="str">
        <x:f>'Project Schedule'!J8</x:f>
        <x:v>YES</x:v>
      </x:c>
      <x:c r="E10" s="28" t="str">
        <x:f>IF(OR('Project Schedule'!$G8="",'Project Schedule'!$H8=""),"",IF(AND(E$4&gt;='Project Schedule'!$G8,E$4&lt;='Project Schedule'!$H8),IF('Project Schedule'!$D8="Milestone","◆",IF('Project Schedule'!$D8="Phase Header","","■")),""))</x:f>
      </x:c>
      <x:c r="F10" s="28" t="str">
        <x:f>IF(OR('Project Schedule'!$G8="",'Project Schedule'!$H8=""),"",IF(AND(F$4&gt;='Project Schedule'!$G8,F$4&lt;='Project Schedule'!$H8),IF('Project Schedule'!$D8="Milestone","◆",IF('Project Schedule'!$D8="Phase Header","","■")),""))</x:f>
        <x:v>■</x:v>
      </x:c>
      <x:c r="G10" s="28" t="str">
        <x:f>IF(OR('Project Schedule'!$G8="",'Project Schedule'!$H8=""),"",IF(AND(G$4&gt;='Project Schedule'!$G8,G$4&lt;='Project Schedule'!$H8),IF('Project Schedule'!$D8="Milestone","◆",IF('Project Schedule'!$D8="Phase Header","","■")),""))</x:f>
        <x:v>■</x:v>
      </x:c>
      <x:c r="H10" s="28" t="str">
        <x:f>IF(OR('Project Schedule'!$G8="",'Project Schedule'!$H8=""),"",IF(AND(H$4&gt;='Project Schedule'!$G8,H$4&lt;='Project Schedule'!$H8),IF('Project Schedule'!$D8="Milestone","◆",IF('Project Schedule'!$D8="Phase Header","","■")),""))</x:f>
      </x:c>
      <x:c r="I10" s="28" t="str">
        <x:f>IF(OR('Project Schedule'!$G8="",'Project Schedule'!$H8=""),"",IF(AND(I$4&gt;='Project Schedule'!$G8,I$4&lt;='Project Schedule'!$H8),IF('Project Schedule'!$D8="Milestone","◆",IF('Project Schedule'!$D8="Phase Header","","■")),""))</x:f>
      </x:c>
      <x:c r="J10" s="28" t="str">
        <x:f>IF(OR('Project Schedule'!$G8="",'Project Schedule'!$H8=""),"",IF(AND(J$4&gt;='Project Schedule'!$G8,J$4&lt;='Project Schedule'!$H8),IF('Project Schedule'!$D8="Milestone","◆",IF('Project Schedule'!$D8="Phase Header","","■")),""))</x:f>
      </x:c>
      <x:c r="K10" s="28" t="str">
        <x:f>IF(OR('Project Schedule'!$G8="",'Project Schedule'!$H8=""),"",IF(AND(K$4&gt;='Project Schedule'!$G8,K$4&lt;='Project Schedule'!$H8),IF('Project Schedule'!$D8="Milestone","◆",IF('Project Schedule'!$D8="Phase Header","","■")),""))</x:f>
      </x:c>
      <x:c r="L10" s="28" t="str">
        <x:f>IF(OR('Project Schedule'!$G8="",'Project Schedule'!$H8=""),"",IF(AND(L$4&gt;='Project Schedule'!$G8,L$4&lt;='Project Schedule'!$H8),IF('Project Schedule'!$D8="Milestone","◆",IF('Project Schedule'!$D8="Phase Header","","■")),""))</x:f>
      </x:c>
      <x:c r="M10" s="28" t="str">
        <x:f>IF(OR('Project Schedule'!$G8="",'Project Schedule'!$H8=""),"",IF(AND(M$4&gt;='Project Schedule'!$G8,M$4&lt;='Project Schedule'!$H8),IF('Project Schedule'!$D8="Milestone","◆",IF('Project Schedule'!$D8="Phase Header","","■")),""))</x:f>
      </x:c>
      <x:c r="N10" s="28" t="str">
        <x:f>IF(OR('Project Schedule'!$G8="",'Project Schedule'!$H8=""),"",IF(AND(N$4&gt;='Project Schedule'!$G8,N$4&lt;='Project Schedule'!$H8),IF('Project Schedule'!$D8="Milestone","◆",IF('Project Schedule'!$D8="Phase Header","","■")),""))</x:f>
      </x:c>
      <x:c r="O10" s="28" t="str">
        <x:f>IF(OR('Project Schedule'!$G8="",'Project Schedule'!$H8=""),"",IF(AND(O$4&gt;='Project Schedule'!$G8,O$4&lt;='Project Schedule'!$H8),IF('Project Schedule'!$D8="Milestone","◆",IF('Project Schedule'!$D8="Phase Header","","■")),""))</x:f>
      </x:c>
      <x:c r="P10" s="28" t="str">
        <x:f>IF(OR('Project Schedule'!$G8="",'Project Schedule'!$H8=""),"",IF(AND(P$4&gt;='Project Schedule'!$G8,P$4&lt;='Project Schedule'!$H8),IF('Project Schedule'!$D8="Milestone","◆",IF('Project Schedule'!$D8="Phase Header","","■")),""))</x:f>
      </x:c>
      <x:c r="Q10" s="28" t="str">
        <x:f>IF(OR('Project Schedule'!$G8="",'Project Schedule'!$H8=""),"",IF(AND(Q$4&gt;='Project Schedule'!$G8,Q$4&lt;='Project Schedule'!$H8),IF('Project Schedule'!$D8="Milestone","◆",IF('Project Schedule'!$D8="Phase Header","","■")),""))</x:f>
      </x:c>
      <x:c r="R10" s="28" t="str">
        <x:f>IF(OR('Project Schedule'!$G8="",'Project Schedule'!$H8=""),"",IF(AND(R$4&gt;='Project Schedule'!$G8,R$4&lt;='Project Schedule'!$H8),IF('Project Schedule'!$D8="Milestone","◆",IF('Project Schedule'!$D8="Phase Header","","■")),""))</x:f>
      </x:c>
      <x:c r="S10" s="28" t="str">
        <x:f>IF(OR('Project Schedule'!$G8="",'Project Schedule'!$H8=""),"",IF(AND(S$4&gt;='Project Schedule'!$G8,S$4&lt;='Project Schedule'!$H8),IF('Project Schedule'!$D8="Milestone","◆",IF('Project Schedule'!$D8="Phase Header","","■")),""))</x:f>
      </x:c>
      <x:c r="T10" s="28" t="str">
        <x:f>IF(OR('Project Schedule'!$G8="",'Project Schedule'!$H8=""),"",IF(AND(T$4&gt;='Project Schedule'!$G8,T$4&lt;='Project Schedule'!$H8),IF('Project Schedule'!$D8="Milestone","◆",IF('Project Schedule'!$D8="Phase Header","","■")),""))</x:f>
      </x:c>
      <x:c r="U10" s="28" t="str">
        <x:f>IF(OR('Project Schedule'!$G8="",'Project Schedule'!$H8=""),"",IF(AND(U$4&gt;='Project Schedule'!$G8,U$4&lt;='Project Schedule'!$H8),IF('Project Schedule'!$D8="Milestone","◆",IF('Project Schedule'!$D8="Phase Header","","■")),""))</x:f>
      </x:c>
      <x:c r="V10" s="28" t="str">
        <x:f>IF(OR('Project Schedule'!$G8="",'Project Schedule'!$H8=""),"",IF(AND(V$4&gt;='Project Schedule'!$G8,V$4&lt;='Project Schedule'!$H8),IF('Project Schedule'!$D8="Milestone","◆",IF('Project Schedule'!$D8="Phase Header","","■")),""))</x:f>
      </x:c>
      <x:c r="W10" s="28" t="str">
        <x:f>IF(OR('Project Schedule'!$G8="",'Project Schedule'!$H8=""),"",IF(AND(W$4&gt;='Project Schedule'!$G8,W$4&lt;='Project Schedule'!$H8),IF('Project Schedule'!$D8="Milestone","◆",IF('Project Schedule'!$D8="Phase Header","","■")),""))</x:f>
      </x:c>
      <x:c r="X10" s="28" t="str">
        <x:f>IF(OR('Project Schedule'!$G8="",'Project Schedule'!$H8=""),"",IF(AND(X$4&gt;='Project Schedule'!$G8,X$4&lt;='Project Schedule'!$H8),IF('Project Schedule'!$D8="Milestone","◆",IF('Project Schedule'!$D8="Phase Header","","■")),""))</x:f>
      </x:c>
      <x:c r="Y10" s="28" t="str">
        <x:f>IF(OR('Project Schedule'!$G8="",'Project Schedule'!$H8=""),"",IF(AND(Y$4&gt;='Project Schedule'!$G8,Y$4&lt;='Project Schedule'!$H8),IF('Project Schedule'!$D8="Milestone","◆",IF('Project Schedule'!$D8="Phase Header","","■")),""))</x:f>
      </x:c>
      <x:c r="Z10" s="28" t="str">
        <x:f>IF(OR('Project Schedule'!$G8="",'Project Schedule'!$H8=""),"",IF(AND(Z$4&gt;='Project Schedule'!$G8,Z$4&lt;='Project Schedule'!$H8),IF('Project Schedule'!$D8="Milestone","◆",IF('Project Schedule'!$D8="Phase Header","","■")),""))</x:f>
      </x:c>
      <x:c r="AA10" s="28" t="str">
        <x:f>IF(OR('Project Schedule'!$G8="",'Project Schedule'!$H8=""),"",IF(AND(AA$4&gt;='Project Schedule'!$G8,AA$4&lt;='Project Schedule'!$H8),IF('Project Schedule'!$D8="Milestone","◆",IF('Project Schedule'!$D8="Phase Header","","■")),""))</x:f>
      </x:c>
      <x:c r="AB10" s="28" t="str">
        <x:f>IF(OR('Project Schedule'!$G8="",'Project Schedule'!$H8=""),"",IF(AND(AB$4&gt;='Project Schedule'!$G8,AB$4&lt;='Project Schedule'!$H8),IF('Project Schedule'!$D8="Milestone","◆",IF('Project Schedule'!$D8="Phase Header","","■")),""))</x:f>
      </x:c>
      <x:c r="AC10" s="28" t="str">
        <x:f>IF(OR('Project Schedule'!$G8="",'Project Schedule'!$H8=""),"",IF(AND(AC$4&gt;='Project Schedule'!$G8,AC$4&lt;='Project Schedule'!$H8),IF('Project Schedule'!$D8="Milestone","◆",IF('Project Schedule'!$D8="Phase Header","","■")),""))</x:f>
      </x:c>
      <x:c r="AD10" s="28" t="str">
        <x:f>IF(OR('Project Schedule'!$G8="",'Project Schedule'!$H8=""),"",IF(AND(AD$4&gt;='Project Schedule'!$G8,AD$4&lt;='Project Schedule'!$H8),IF('Project Schedule'!$D8="Milestone","◆",IF('Project Schedule'!$D8="Phase Header","","■")),""))</x:f>
      </x:c>
      <x:c r="AE10" s="28" t="str">
        <x:f>IF(OR('Project Schedule'!$G8="",'Project Schedule'!$H8=""),"",IF(AND(AE$4&gt;='Project Schedule'!$G8,AE$4&lt;='Project Schedule'!$H8),IF('Project Schedule'!$D8="Milestone","◆",IF('Project Schedule'!$D8="Phase Header","","■")),""))</x:f>
      </x:c>
      <x:c r="AF10" s="28" t="str">
        <x:f>IF(OR('Project Schedule'!$G8="",'Project Schedule'!$H8=""),"",IF(AND(AF$4&gt;='Project Schedule'!$G8,AF$4&lt;='Project Schedule'!$H8),IF('Project Schedule'!$D8="Milestone","◆",IF('Project Schedule'!$D8="Phase Header","","■")),""))</x:f>
      </x:c>
      <x:c r="AG10" s="28" t="str">
        <x:f>IF(OR('Project Schedule'!$G8="",'Project Schedule'!$H8=""),"",IF(AND(AG$4&gt;='Project Schedule'!$G8,AG$4&lt;='Project Schedule'!$H8),IF('Project Schedule'!$D8="Milestone","◆",IF('Project Schedule'!$D8="Phase Header","","■")),""))</x:f>
      </x:c>
      <x:c r="AH10" s="28" t="str">
        <x:f>IF(OR('Project Schedule'!$G8="",'Project Schedule'!$H8=""),"",IF(AND(AH$4&gt;='Project Schedule'!$G8,AH$4&lt;='Project Schedule'!$H8),IF('Project Schedule'!$D8="Milestone","◆",IF('Project Schedule'!$D8="Phase Header","","■")),""))</x:f>
      </x:c>
      <x:c r="AI10" s="28" t="str">
        <x:f>IF(OR('Project Schedule'!$G8="",'Project Schedule'!$H8=""),"",IF(AND(AI$4&gt;='Project Schedule'!$G8,AI$4&lt;='Project Schedule'!$H8),IF('Project Schedule'!$D8="Milestone","◆",IF('Project Schedule'!$D8="Phase Header","","■")),""))</x:f>
      </x:c>
      <x:c r="AJ10" s="28" t="str">
        <x:f>IF(OR('Project Schedule'!$G8="",'Project Schedule'!$H8=""),"",IF(AND(AJ$4&gt;='Project Schedule'!$G8,AJ$4&lt;='Project Schedule'!$H8),IF('Project Schedule'!$D8="Milestone","◆",IF('Project Schedule'!$D8="Phase Header","","■")),""))</x:f>
      </x:c>
      <x:c r="AK10" s="28" t="str">
        <x:f>IF(OR('Project Schedule'!$G8="",'Project Schedule'!$H8=""),"",IF(AND(AK$4&gt;='Project Schedule'!$G8,AK$4&lt;='Project Schedule'!$H8),IF('Project Schedule'!$D8="Milestone","◆",IF('Project Schedule'!$D8="Phase Header","","■")),""))</x:f>
      </x:c>
      <x:c r="AL10" s="28" t="str">
        <x:f>IF(OR('Project Schedule'!$G8="",'Project Schedule'!$H8=""),"",IF(AND(AL$4&gt;='Project Schedule'!$G8,AL$4&lt;='Project Schedule'!$H8),IF('Project Schedule'!$D8="Milestone","◆",IF('Project Schedule'!$D8="Phase Header","","■")),""))</x:f>
      </x:c>
      <x:c r="AM10" s="28" t="str">
        <x:f>IF(OR('Project Schedule'!$G8="",'Project Schedule'!$H8=""),"",IF(AND(AM$4&gt;='Project Schedule'!$G8,AM$4&lt;='Project Schedule'!$H8),IF('Project Schedule'!$D8="Milestone","◆",IF('Project Schedule'!$D8="Phase Header","","■")),""))</x:f>
      </x:c>
      <x:c r="AN10" s="28" t="str">
        <x:f>IF(OR('Project Schedule'!$G8="",'Project Schedule'!$H8=""),"",IF(AND(AN$4&gt;='Project Schedule'!$G8,AN$4&lt;='Project Schedule'!$H8),IF('Project Schedule'!$D8="Milestone","◆",IF('Project Schedule'!$D8="Phase Header","","■")),""))</x:f>
      </x:c>
      <x:c r="AO10" s="28" t="str">
        <x:f>IF(OR('Project Schedule'!$G8="",'Project Schedule'!$H8=""),"",IF(AND(AO$4&gt;='Project Schedule'!$G8,AO$4&lt;='Project Schedule'!$H8),IF('Project Schedule'!$D8="Milestone","◆",IF('Project Schedule'!$D8="Phase Header","","■")),""))</x:f>
      </x:c>
      <x:c r="AP10" s="28" t="str">
        <x:f>IF(OR('Project Schedule'!$G8="",'Project Schedule'!$H8=""),"",IF(AND(AP$4&gt;='Project Schedule'!$G8,AP$4&lt;='Project Schedule'!$H8),IF('Project Schedule'!$D8="Milestone","◆",IF('Project Schedule'!$D8="Phase Header","","■")),""))</x:f>
      </x:c>
      <x:c r="AQ10" s="28" t="str">
        <x:f>IF(OR('Project Schedule'!$G8="",'Project Schedule'!$H8=""),"",IF(AND(AQ$4&gt;='Project Schedule'!$G8,AQ$4&lt;='Project Schedule'!$H8),IF('Project Schedule'!$D8="Milestone","◆",IF('Project Schedule'!$D8="Phase Header","","■")),""))</x:f>
      </x:c>
      <x:c r="AR10" s="28" t="str">
        <x:f>IF(OR('Project Schedule'!$G8="",'Project Schedule'!$H8=""),"",IF(AND(AR$4&gt;='Project Schedule'!$G8,AR$4&lt;='Project Schedule'!$H8),IF('Project Schedule'!$D8="Milestone","◆",IF('Project Schedule'!$D8="Phase Header","","■")),""))</x:f>
      </x:c>
    </x:row>
    <x:row r="11" ht="32" customHeight="1">
      <x:c r="A11" s="93" t="str">
        <x:f>'Project Schedule'!A9</x:f>
        <x:v>2.2</x:v>
      </x:c>
      <x:c r="B11" s="93" t="str">
        <x:f>'Project Schedule'!B9</x:f>
        <x:v>Configure clinic/date availability</x:v>
      </x:c>
      <x:c r="C11" s="93" t="str">
        <x:f>'Project Schedule'!D9</x:f>
        <x:v>Task</x:v>
      </x:c>
      <x:c r="D11" s="93" t="n">
        <x:f>'Project Schedule'!J9</x:f>
        <x:v>0</x:v>
      </x:c>
      <x:c r="E11" s="28" t="str">
        <x:f>IF(OR('Project Schedule'!$G9="",'Project Schedule'!$H9=""),"",IF(AND(E$4&gt;='Project Schedule'!$G9,E$4&lt;='Project Schedule'!$H9),IF('Project Schedule'!$D9="Milestone","◆",IF('Project Schedule'!$D9="Phase Header","","■")),""))</x:f>
      </x:c>
      <x:c r="F11" s="28" t="str">
        <x:f>IF(OR('Project Schedule'!$G9="",'Project Schedule'!$H9=""),"",IF(AND(F$4&gt;='Project Schedule'!$G9,F$4&lt;='Project Schedule'!$H9),IF('Project Schedule'!$D9="Milestone","◆",IF('Project Schedule'!$D9="Phase Header","","■")),""))</x:f>
        <x:v>■</x:v>
      </x:c>
      <x:c r="G11" s="28" t="str">
        <x:f>IF(OR('Project Schedule'!$G9="",'Project Schedule'!$H9=""),"",IF(AND(G$4&gt;='Project Schedule'!$G9,G$4&lt;='Project Schedule'!$H9),IF('Project Schedule'!$D9="Milestone","◆",IF('Project Schedule'!$D9="Phase Header","","■")),""))</x:f>
      </x:c>
      <x:c r="H11" s="28" t="str">
        <x:f>IF(OR('Project Schedule'!$G9="",'Project Schedule'!$H9=""),"",IF(AND(H$4&gt;='Project Schedule'!$G9,H$4&lt;='Project Schedule'!$H9),IF('Project Schedule'!$D9="Milestone","◆",IF('Project Schedule'!$D9="Phase Header","","■")),""))</x:f>
      </x:c>
      <x:c r="I11" s="28" t="str">
        <x:f>IF(OR('Project Schedule'!$G9="",'Project Schedule'!$H9=""),"",IF(AND(I$4&gt;='Project Schedule'!$G9,I$4&lt;='Project Schedule'!$H9),IF('Project Schedule'!$D9="Milestone","◆",IF('Project Schedule'!$D9="Phase Header","","■")),""))</x:f>
      </x:c>
      <x:c r="J11" s="28" t="str">
        <x:f>IF(OR('Project Schedule'!$G9="",'Project Schedule'!$H9=""),"",IF(AND(J$4&gt;='Project Schedule'!$G9,J$4&lt;='Project Schedule'!$H9),IF('Project Schedule'!$D9="Milestone","◆",IF('Project Schedule'!$D9="Phase Header","","■")),""))</x:f>
      </x:c>
      <x:c r="K11" s="28" t="str">
        <x:f>IF(OR('Project Schedule'!$G9="",'Project Schedule'!$H9=""),"",IF(AND(K$4&gt;='Project Schedule'!$G9,K$4&lt;='Project Schedule'!$H9),IF('Project Schedule'!$D9="Milestone","◆",IF('Project Schedule'!$D9="Phase Header","","■")),""))</x:f>
      </x:c>
      <x:c r="L11" s="28" t="str">
        <x:f>IF(OR('Project Schedule'!$G9="",'Project Schedule'!$H9=""),"",IF(AND(L$4&gt;='Project Schedule'!$G9,L$4&lt;='Project Schedule'!$H9),IF('Project Schedule'!$D9="Milestone","◆",IF('Project Schedule'!$D9="Phase Header","","■")),""))</x:f>
      </x:c>
      <x:c r="M11" s="28" t="str">
        <x:f>IF(OR('Project Schedule'!$G9="",'Project Schedule'!$H9=""),"",IF(AND(M$4&gt;='Project Schedule'!$G9,M$4&lt;='Project Schedule'!$H9),IF('Project Schedule'!$D9="Milestone","◆",IF('Project Schedule'!$D9="Phase Header","","■")),""))</x:f>
      </x:c>
      <x:c r="N11" s="28" t="str">
        <x:f>IF(OR('Project Schedule'!$G9="",'Project Schedule'!$H9=""),"",IF(AND(N$4&gt;='Project Schedule'!$G9,N$4&lt;='Project Schedule'!$H9),IF('Project Schedule'!$D9="Milestone","◆",IF('Project Schedule'!$D9="Phase Header","","■")),""))</x:f>
      </x:c>
      <x:c r="O11" s="28" t="str">
        <x:f>IF(OR('Project Schedule'!$G9="",'Project Schedule'!$H9=""),"",IF(AND(O$4&gt;='Project Schedule'!$G9,O$4&lt;='Project Schedule'!$H9),IF('Project Schedule'!$D9="Milestone","◆",IF('Project Schedule'!$D9="Phase Header","","■")),""))</x:f>
      </x:c>
      <x:c r="P11" s="28" t="str">
        <x:f>IF(OR('Project Schedule'!$G9="",'Project Schedule'!$H9=""),"",IF(AND(P$4&gt;='Project Schedule'!$G9,P$4&lt;='Project Schedule'!$H9),IF('Project Schedule'!$D9="Milestone","◆",IF('Project Schedule'!$D9="Phase Header","","■")),""))</x:f>
      </x:c>
      <x:c r="Q11" s="28" t="str">
        <x:f>IF(OR('Project Schedule'!$G9="",'Project Schedule'!$H9=""),"",IF(AND(Q$4&gt;='Project Schedule'!$G9,Q$4&lt;='Project Schedule'!$H9),IF('Project Schedule'!$D9="Milestone","◆",IF('Project Schedule'!$D9="Phase Header","","■")),""))</x:f>
      </x:c>
      <x:c r="R11" s="28" t="str">
        <x:f>IF(OR('Project Schedule'!$G9="",'Project Schedule'!$H9=""),"",IF(AND(R$4&gt;='Project Schedule'!$G9,R$4&lt;='Project Schedule'!$H9),IF('Project Schedule'!$D9="Milestone","◆",IF('Project Schedule'!$D9="Phase Header","","■")),""))</x:f>
      </x:c>
      <x:c r="S11" s="28" t="str">
        <x:f>IF(OR('Project Schedule'!$G9="",'Project Schedule'!$H9=""),"",IF(AND(S$4&gt;='Project Schedule'!$G9,S$4&lt;='Project Schedule'!$H9),IF('Project Schedule'!$D9="Milestone","◆",IF('Project Schedule'!$D9="Phase Header","","■")),""))</x:f>
      </x:c>
      <x:c r="T11" s="28" t="str">
        <x:f>IF(OR('Project Schedule'!$G9="",'Project Schedule'!$H9=""),"",IF(AND(T$4&gt;='Project Schedule'!$G9,T$4&lt;='Project Schedule'!$H9),IF('Project Schedule'!$D9="Milestone","◆",IF('Project Schedule'!$D9="Phase Header","","■")),""))</x:f>
      </x:c>
      <x:c r="U11" s="28" t="str">
        <x:f>IF(OR('Project Schedule'!$G9="",'Project Schedule'!$H9=""),"",IF(AND(U$4&gt;='Project Schedule'!$G9,U$4&lt;='Project Schedule'!$H9),IF('Project Schedule'!$D9="Milestone","◆",IF('Project Schedule'!$D9="Phase Header","","■")),""))</x:f>
      </x:c>
      <x:c r="V11" s="28" t="str">
        <x:f>IF(OR('Project Schedule'!$G9="",'Project Schedule'!$H9=""),"",IF(AND(V$4&gt;='Project Schedule'!$G9,V$4&lt;='Project Schedule'!$H9),IF('Project Schedule'!$D9="Milestone","◆",IF('Project Schedule'!$D9="Phase Header","","■")),""))</x:f>
      </x:c>
      <x:c r="W11" s="28" t="str">
        <x:f>IF(OR('Project Schedule'!$G9="",'Project Schedule'!$H9=""),"",IF(AND(W$4&gt;='Project Schedule'!$G9,W$4&lt;='Project Schedule'!$H9),IF('Project Schedule'!$D9="Milestone","◆",IF('Project Schedule'!$D9="Phase Header","","■")),""))</x:f>
      </x:c>
      <x:c r="X11" s="28" t="str">
        <x:f>IF(OR('Project Schedule'!$G9="",'Project Schedule'!$H9=""),"",IF(AND(X$4&gt;='Project Schedule'!$G9,X$4&lt;='Project Schedule'!$H9),IF('Project Schedule'!$D9="Milestone","◆",IF('Project Schedule'!$D9="Phase Header","","■")),""))</x:f>
      </x:c>
      <x:c r="Y11" s="28" t="str">
        <x:f>IF(OR('Project Schedule'!$G9="",'Project Schedule'!$H9=""),"",IF(AND(Y$4&gt;='Project Schedule'!$G9,Y$4&lt;='Project Schedule'!$H9),IF('Project Schedule'!$D9="Milestone","◆",IF('Project Schedule'!$D9="Phase Header","","■")),""))</x:f>
      </x:c>
      <x:c r="Z11" s="28" t="str">
        <x:f>IF(OR('Project Schedule'!$G9="",'Project Schedule'!$H9=""),"",IF(AND(Z$4&gt;='Project Schedule'!$G9,Z$4&lt;='Project Schedule'!$H9),IF('Project Schedule'!$D9="Milestone","◆",IF('Project Schedule'!$D9="Phase Header","","■")),""))</x:f>
      </x:c>
      <x:c r="AA11" s="28" t="str">
        <x:f>IF(OR('Project Schedule'!$G9="",'Project Schedule'!$H9=""),"",IF(AND(AA$4&gt;='Project Schedule'!$G9,AA$4&lt;='Project Schedule'!$H9),IF('Project Schedule'!$D9="Milestone","◆",IF('Project Schedule'!$D9="Phase Header","","■")),""))</x:f>
      </x:c>
      <x:c r="AB11" s="28" t="str">
        <x:f>IF(OR('Project Schedule'!$G9="",'Project Schedule'!$H9=""),"",IF(AND(AB$4&gt;='Project Schedule'!$G9,AB$4&lt;='Project Schedule'!$H9),IF('Project Schedule'!$D9="Milestone","◆",IF('Project Schedule'!$D9="Phase Header","","■")),""))</x:f>
      </x:c>
      <x:c r="AC11" s="28" t="str">
        <x:f>IF(OR('Project Schedule'!$G9="",'Project Schedule'!$H9=""),"",IF(AND(AC$4&gt;='Project Schedule'!$G9,AC$4&lt;='Project Schedule'!$H9),IF('Project Schedule'!$D9="Milestone","◆",IF('Project Schedule'!$D9="Phase Header","","■")),""))</x:f>
      </x:c>
      <x:c r="AD11" s="28" t="str">
        <x:f>IF(OR('Project Schedule'!$G9="",'Project Schedule'!$H9=""),"",IF(AND(AD$4&gt;='Project Schedule'!$G9,AD$4&lt;='Project Schedule'!$H9),IF('Project Schedule'!$D9="Milestone","◆",IF('Project Schedule'!$D9="Phase Header","","■")),""))</x:f>
      </x:c>
      <x:c r="AE11" s="28" t="str">
        <x:f>IF(OR('Project Schedule'!$G9="",'Project Schedule'!$H9=""),"",IF(AND(AE$4&gt;='Project Schedule'!$G9,AE$4&lt;='Project Schedule'!$H9),IF('Project Schedule'!$D9="Milestone","◆",IF('Project Schedule'!$D9="Phase Header","","■")),""))</x:f>
      </x:c>
      <x:c r="AF11" s="28" t="str">
        <x:f>IF(OR('Project Schedule'!$G9="",'Project Schedule'!$H9=""),"",IF(AND(AF$4&gt;='Project Schedule'!$G9,AF$4&lt;='Project Schedule'!$H9),IF('Project Schedule'!$D9="Milestone","◆",IF('Project Schedule'!$D9="Phase Header","","■")),""))</x:f>
      </x:c>
      <x:c r="AG11" s="28" t="str">
        <x:f>IF(OR('Project Schedule'!$G9="",'Project Schedule'!$H9=""),"",IF(AND(AG$4&gt;='Project Schedule'!$G9,AG$4&lt;='Project Schedule'!$H9),IF('Project Schedule'!$D9="Milestone","◆",IF('Project Schedule'!$D9="Phase Header","","■")),""))</x:f>
      </x:c>
      <x:c r="AH11" s="28" t="str">
        <x:f>IF(OR('Project Schedule'!$G9="",'Project Schedule'!$H9=""),"",IF(AND(AH$4&gt;='Project Schedule'!$G9,AH$4&lt;='Project Schedule'!$H9),IF('Project Schedule'!$D9="Milestone","◆",IF('Project Schedule'!$D9="Phase Header","","■")),""))</x:f>
      </x:c>
      <x:c r="AI11" s="28" t="str">
        <x:f>IF(OR('Project Schedule'!$G9="",'Project Schedule'!$H9=""),"",IF(AND(AI$4&gt;='Project Schedule'!$G9,AI$4&lt;='Project Schedule'!$H9),IF('Project Schedule'!$D9="Milestone","◆",IF('Project Schedule'!$D9="Phase Header","","■")),""))</x:f>
      </x:c>
      <x:c r="AJ11" s="28" t="str">
        <x:f>IF(OR('Project Schedule'!$G9="",'Project Schedule'!$H9=""),"",IF(AND(AJ$4&gt;='Project Schedule'!$G9,AJ$4&lt;='Project Schedule'!$H9),IF('Project Schedule'!$D9="Milestone","◆",IF('Project Schedule'!$D9="Phase Header","","■")),""))</x:f>
      </x:c>
      <x:c r="AK11" s="28" t="str">
        <x:f>IF(OR('Project Schedule'!$G9="",'Project Schedule'!$H9=""),"",IF(AND(AK$4&gt;='Project Schedule'!$G9,AK$4&lt;='Project Schedule'!$H9),IF('Project Schedule'!$D9="Milestone","◆",IF('Project Schedule'!$D9="Phase Header","","■")),""))</x:f>
      </x:c>
      <x:c r="AL11" s="28" t="str">
        <x:f>IF(OR('Project Schedule'!$G9="",'Project Schedule'!$H9=""),"",IF(AND(AL$4&gt;='Project Schedule'!$G9,AL$4&lt;='Project Schedule'!$H9),IF('Project Schedule'!$D9="Milestone","◆",IF('Project Schedule'!$D9="Phase Header","","■")),""))</x:f>
      </x:c>
      <x:c r="AM11" s="28" t="str">
        <x:f>IF(OR('Project Schedule'!$G9="",'Project Schedule'!$H9=""),"",IF(AND(AM$4&gt;='Project Schedule'!$G9,AM$4&lt;='Project Schedule'!$H9),IF('Project Schedule'!$D9="Milestone","◆",IF('Project Schedule'!$D9="Phase Header","","■")),""))</x:f>
      </x:c>
      <x:c r="AN11" s="28" t="str">
        <x:f>IF(OR('Project Schedule'!$G9="",'Project Schedule'!$H9=""),"",IF(AND(AN$4&gt;='Project Schedule'!$G9,AN$4&lt;='Project Schedule'!$H9),IF('Project Schedule'!$D9="Milestone","◆",IF('Project Schedule'!$D9="Phase Header","","■")),""))</x:f>
      </x:c>
      <x:c r="AO11" s="28" t="str">
        <x:f>IF(OR('Project Schedule'!$G9="",'Project Schedule'!$H9=""),"",IF(AND(AO$4&gt;='Project Schedule'!$G9,AO$4&lt;='Project Schedule'!$H9),IF('Project Schedule'!$D9="Milestone","◆",IF('Project Schedule'!$D9="Phase Header","","■")),""))</x:f>
      </x:c>
      <x:c r="AP11" s="28" t="str">
        <x:f>IF(OR('Project Schedule'!$G9="",'Project Schedule'!$H9=""),"",IF(AND(AP$4&gt;='Project Schedule'!$G9,AP$4&lt;='Project Schedule'!$H9),IF('Project Schedule'!$D9="Milestone","◆",IF('Project Schedule'!$D9="Phase Header","","■")),""))</x:f>
      </x:c>
      <x:c r="AQ11" s="28" t="str">
        <x:f>IF(OR('Project Schedule'!$G9="",'Project Schedule'!$H9=""),"",IF(AND(AQ$4&gt;='Project Schedule'!$G9,AQ$4&lt;='Project Schedule'!$H9),IF('Project Schedule'!$D9="Milestone","◆",IF('Project Schedule'!$D9="Phase Header","","■")),""))</x:f>
      </x:c>
      <x:c r="AR11" s="28" t="str">
        <x:f>IF(OR('Project Schedule'!$G9="",'Project Schedule'!$H9=""),"",IF(AND(AR$4&gt;='Project Schedule'!$G9,AR$4&lt;='Project Schedule'!$H9),IF('Project Schedule'!$D9="Milestone","◆",IF('Project Schedule'!$D9="Phase Header","","■")),""))</x:f>
      </x:c>
    </x:row>
    <x:row r="12" ht="32" customHeight="1">
      <x:c r="A12" s="93" t="str">
        <x:f>'Project Schedule'!A10</x:f>
        <x:v>2.3.1</x:v>
      </x:c>
      <x:c r="B12" s="93" t="str">
        <x:f>'Project Schedule'!B10</x:f>
        <x:v>Integrate booking and test conflict handling</x:v>
      </x:c>
      <x:c r="C12" s="93" t="str">
        <x:f>'Project Schedule'!D10</x:f>
        <x:v>Task</x:v>
      </x:c>
      <x:c r="D12" s="93" t="str">
        <x:f>'Project Schedule'!J10</x:f>
        <x:v>YES</x:v>
      </x:c>
      <x:c r="E12" s="28" t="str">
        <x:f>IF(OR('Project Schedule'!$G10="",'Project Schedule'!$H10=""),"",IF(AND(E$4&gt;='Project Schedule'!$G10,E$4&lt;='Project Schedule'!$H10),IF('Project Schedule'!$D10="Milestone","◆",IF('Project Schedule'!$D10="Phase Header","","■")),""))</x:f>
      </x:c>
      <x:c r="F12" s="28" t="str">
        <x:f>IF(OR('Project Schedule'!$G10="",'Project Schedule'!$H10=""),"",IF(AND(F$4&gt;='Project Schedule'!$G10,F$4&lt;='Project Schedule'!$H10),IF('Project Schedule'!$D10="Milestone","◆",IF('Project Schedule'!$D10="Phase Header","","■")),""))</x:f>
      </x:c>
      <x:c r="G12" s="28" t="str">
        <x:f>IF(OR('Project Schedule'!$G10="",'Project Schedule'!$H10=""),"",IF(AND(G$4&gt;='Project Schedule'!$G10,G$4&lt;='Project Schedule'!$H10),IF('Project Schedule'!$D10="Milestone","◆",IF('Project Schedule'!$D10="Phase Header","","■")),""))</x:f>
      </x:c>
      <x:c r="H12" s="28" t="str">
        <x:f>IF(OR('Project Schedule'!$G10="",'Project Schedule'!$H10=""),"",IF(AND(H$4&gt;='Project Schedule'!$G10,H$4&lt;='Project Schedule'!$H10),IF('Project Schedule'!$D10="Milestone","◆",IF('Project Schedule'!$D10="Phase Header","","■")),""))</x:f>
        <x:v>■</x:v>
      </x:c>
      <x:c r="I12" s="28" t="str">
        <x:f>IF(OR('Project Schedule'!$G10="",'Project Schedule'!$H10=""),"",IF(AND(I$4&gt;='Project Schedule'!$G10,I$4&lt;='Project Schedule'!$H10),IF('Project Schedule'!$D10="Milestone","◆",IF('Project Schedule'!$D10="Phase Header","","■")),""))</x:f>
        <x:v>■</x:v>
      </x:c>
      <x:c r="J12" s="28" t="str">
        <x:f>IF(OR('Project Schedule'!$G10="",'Project Schedule'!$H10=""),"",IF(AND(J$4&gt;='Project Schedule'!$G10,J$4&lt;='Project Schedule'!$H10),IF('Project Schedule'!$D10="Milestone","◆",IF('Project Schedule'!$D10="Phase Header","","■")),""))</x:f>
      </x:c>
      <x:c r="K12" s="28" t="str">
        <x:f>IF(OR('Project Schedule'!$G10="",'Project Schedule'!$H10=""),"",IF(AND(K$4&gt;='Project Schedule'!$G10,K$4&lt;='Project Schedule'!$H10),IF('Project Schedule'!$D10="Milestone","◆",IF('Project Schedule'!$D10="Phase Header","","■")),""))</x:f>
      </x:c>
      <x:c r="L12" s="28" t="str">
        <x:f>IF(OR('Project Schedule'!$G10="",'Project Schedule'!$H10=""),"",IF(AND(L$4&gt;='Project Schedule'!$G10,L$4&lt;='Project Schedule'!$H10),IF('Project Schedule'!$D10="Milestone","◆",IF('Project Schedule'!$D10="Phase Header","","■")),""))</x:f>
      </x:c>
      <x:c r="M12" s="28" t="str">
        <x:f>IF(OR('Project Schedule'!$G10="",'Project Schedule'!$H10=""),"",IF(AND(M$4&gt;='Project Schedule'!$G10,M$4&lt;='Project Schedule'!$H10),IF('Project Schedule'!$D10="Milestone","◆",IF('Project Schedule'!$D10="Phase Header","","■")),""))</x:f>
      </x:c>
      <x:c r="N12" s="28" t="str">
        <x:f>IF(OR('Project Schedule'!$G10="",'Project Schedule'!$H10=""),"",IF(AND(N$4&gt;='Project Schedule'!$G10,N$4&lt;='Project Schedule'!$H10),IF('Project Schedule'!$D10="Milestone","◆",IF('Project Schedule'!$D10="Phase Header","","■")),""))</x:f>
      </x:c>
      <x:c r="O12" s="28" t="str">
        <x:f>IF(OR('Project Schedule'!$G10="",'Project Schedule'!$H10=""),"",IF(AND(O$4&gt;='Project Schedule'!$G10,O$4&lt;='Project Schedule'!$H10),IF('Project Schedule'!$D10="Milestone","◆",IF('Project Schedule'!$D10="Phase Header","","■")),""))</x:f>
      </x:c>
      <x:c r="P12" s="28" t="str">
        <x:f>IF(OR('Project Schedule'!$G10="",'Project Schedule'!$H10=""),"",IF(AND(P$4&gt;='Project Schedule'!$G10,P$4&lt;='Project Schedule'!$H10),IF('Project Schedule'!$D10="Milestone","◆",IF('Project Schedule'!$D10="Phase Header","","■")),""))</x:f>
      </x:c>
      <x:c r="Q12" s="28" t="str">
        <x:f>IF(OR('Project Schedule'!$G10="",'Project Schedule'!$H10=""),"",IF(AND(Q$4&gt;='Project Schedule'!$G10,Q$4&lt;='Project Schedule'!$H10),IF('Project Schedule'!$D10="Milestone","◆",IF('Project Schedule'!$D10="Phase Header","","■")),""))</x:f>
      </x:c>
      <x:c r="R12" s="28" t="str">
        <x:f>IF(OR('Project Schedule'!$G10="",'Project Schedule'!$H10=""),"",IF(AND(R$4&gt;='Project Schedule'!$G10,R$4&lt;='Project Schedule'!$H10),IF('Project Schedule'!$D10="Milestone","◆",IF('Project Schedule'!$D10="Phase Header","","■")),""))</x:f>
      </x:c>
      <x:c r="S12" s="28" t="str">
        <x:f>IF(OR('Project Schedule'!$G10="",'Project Schedule'!$H10=""),"",IF(AND(S$4&gt;='Project Schedule'!$G10,S$4&lt;='Project Schedule'!$H10),IF('Project Schedule'!$D10="Milestone","◆",IF('Project Schedule'!$D10="Phase Header","","■")),""))</x:f>
      </x:c>
      <x:c r="T12" s="28" t="str">
        <x:f>IF(OR('Project Schedule'!$G10="",'Project Schedule'!$H10=""),"",IF(AND(T$4&gt;='Project Schedule'!$G10,T$4&lt;='Project Schedule'!$H10),IF('Project Schedule'!$D10="Milestone","◆",IF('Project Schedule'!$D10="Phase Header","","■")),""))</x:f>
      </x:c>
      <x:c r="U12" s="28" t="str">
        <x:f>IF(OR('Project Schedule'!$G10="",'Project Schedule'!$H10=""),"",IF(AND(U$4&gt;='Project Schedule'!$G10,U$4&lt;='Project Schedule'!$H10),IF('Project Schedule'!$D10="Milestone","◆",IF('Project Schedule'!$D10="Phase Header","","■")),""))</x:f>
      </x:c>
      <x:c r="V12" s="28" t="str">
        <x:f>IF(OR('Project Schedule'!$G10="",'Project Schedule'!$H10=""),"",IF(AND(V$4&gt;='Project Schedule'!$G10,V$4&lt;='Project Schedule'!$H10),IF('Project Schedule'!$D10="Milestone","◆",IF('Project Schedule'!$D10="Phase Header","","■")),""))</x:f>
      </x:c>
      <x:c r="W12" s="28" t="str">
        <x:f>IF(OR('Project Schedule'!$G10="",'Project Schedule'!$H10=""),"",IF(AND(W$4&gt;='Project Schedule'!$G10,W$4&lt;='Project Schedule'!$H10),IF('Project Schedule'!$D10="Milestone","◆",IF('Project Schedule'!$D10="Phase Header","","■")),""))</x:f>
      </x:c>
      <x:c r="X12" s="28" t="str">
        <x:f>IF(OR('Project Schedule'!$G10="",'Project Schedule'!$H10=""),"",IF(AND(X$4&gt;='Project Schedule'!$G10,X$4&lt;='Project Schedule'!$H10),IF('Project Schedule'!$D10="Milestone","◆",IF('Project Schedule'!$D10="Phase Header","","■")),""))</x:f>
      </x:c>
      <x:c r="Y12" s="28" t="str">
        <x:f>IF(OR('Project Schedule'!$G10="",'Project Schedule'!$H10=""),"",IF(AND(Y$4&gt;='Project Schedule'!$G10,Y$4&lt;='Project Schedule'!$H10),IF('Project Schedule'!$D10="Milestone","◆",IF('Project Schedule'!$D10="Phase Header","","■")),""))</x:f>
      </x:c>
      <x:c r="Z12" s="28" t="str">
        <x:f>IF(OR('Project Schedule'!$G10="",'Project Schedule'!$H10=""),"",IF(AND(Z$4&gt;='Project Schedule'!$G10,Z$4&lt;='Project Schedule'!$H10),IF('Project Schedule'!$D10="Milestone","◆",IF('Project Schedule'!$D10="Phase Header","","■")),""))</x:f>
      </x:c>
      <x:c r="AA12" s="28" t="str">
        <x:f>IF(OR('Project Schedule'!$G10="",'Project Schedule'!$H10=""),"",IF(AND(AA$4&gt;='Project Schedule'!$G10,AA$4&lt;='Project Schedule'!$H10),IF('Project Schedule'!$D10="Milestone","◆",IF('Project Schedule'!$D10="Phase Header","","■")),""))</x:f>
      </x:c>
      <x:c r="AB12" s="28" t="str">
        <x:f>IF(OR('Project Schedule'!$G10="",'Project Schedule'!$H10=""),"",IF(AND(AB$4&gt;='Project Schedule'!$G10,AB$4&lt;='Project Schedule'!$H10),IF('Project Schedule'!$D10="Milestone","◆",IF('Project Schedule'!$D10="Phase Header","","■")),""))</x:f>
      </x:c>
      <x:c r="AC12" s="28" t="str">
        <x:f>IF(OR('Project Schedule'!$G10="",'Project Schedule'!$H10=""),"",IF(AND(AC$4&gt;='Project Schedule'!$G10,AC$4&lt;='Project Schedule'!$H10),IF('Project Schedule'!$D10="Milestone","◆",IF('Project Schedule'!$D10="Phase Header","","■")),""))</x:f>
      </x:c>
      <x:c r="AD12" s="28" t="str">
        <x:f>IF(OR('Project Schedule'!$G10="",'Project Schedule'!$H10=""),"",IF(AND(AD$4&gt;='Project Schedule'!$G10,AD$4&lt;='Project Schedule'!$H10),IF('Project Schedule'!$D10="Milestone","◆",IF('Project Schedule'!$D10="Phase Header","","■")),""))</x:f>
      </x:c>
      <x:c r="AE12" s="28" t="str">
        <x:f>IF(OR('Project Schedule'!$G10="",'Project Schedule'!$H10=""),"",IF(AND(AE$4&gt;='Project Schedule'!$G10,AE$4&lt;='Project Schedule'!$H10),IF('Project Schedule'!$D10="Milestone","◆",IF('Project Schedule'!$D10="Phase Header","","■")),""))</x:f>
      </x:c>
      <x:c r="AF12" s="28" t="str">
        <x:f>IF(OR('Project Schedule'!$G10="",'Project Schedule'!$H10=""),"",IF(AND(AF$4&gt;='Project Schedule'!$G10,AF$4&lt;='Project Schedule'!$H10),IF('Project Schedule'!$D10="Milestone","◆",IF('Project Schedule'!$D10="Phase Header","","■")),""))</x:f>
      </x:c>
      <x:c r="AG12" s="28" t="str">
        <x:f>IF(OR('Project Schedule'!$G10="",'Project Schedule'!$H10=""),"",IF(AND(AG$4&gt;='Project Schedule'!$G10,AG$4&lt;='Project Schedule'!$H10),IF('Project Schedule'!$D10="Milestone","◆",IF('Project Schedule'!$D10="Phase Header","","■")),""))</x:f>
      </x:c>
      <x:c r="AH12" s="28" t="str">
        <x:f>IF(OR('Project Schedule'!$G10="",'Project Schedule'!$H10=""),"",IF(AND(AH$4&gt;='Project Schedule'!$G10,AH$4&lt;='Project Schedule'!$H10),IF('Project Schedule'!$D10="Milestone","◆",IF('Project Schedule'!$D10="Phase Header","","■")),""))</x:f>
      </x:c>
      <x:c r="AI12" s="28" t="str">
        <x:f>IF(OR('Project Schedule'!$G10="",'Project Schedule'!$H10=""),"",IF(AND(AI$4&gt;='Project Schedule'!$G10,AI$4&lt;='Project Schedule'!$H10),IF('Project Schedule'!$D10="Milestone","◆",IF('Project Schedule'!$D10="Phase Header","","■")),""))</x:f>
      </x:c>
      <x:c r="AJ12" s="28" t="str">
        <x:f>IF(OR('Project Schedule'!$G10="",'Project Schedule'!$H10=""),"",IF(AND(AJ$4&gt;='Project Schedule'!$G10,AJ$4&lt;='Project Schedule'!$H10),IF('Project Schedule'!$D10="Milestone","◆",IF('Project Schedule'!$D10="Phase Header","","■")),""))</x:f>
      </x:c>
      <x:c r="AK12" s="28" t="str">
        <x:f>IF(OR('Project Schedule'!$G10="",'Project Schedule'!$H10=""),"",IF(AND(AK$4&gt;='Project Schedule'!$G10,AK$4&lt;='Project Schedule'!$H10),IF('Project Schedule'!$D10="Milestone","◆",IF('Project Schedule'!$D10="Phase Header","","■")),""))</x:f>
      </x:c>
      <x:c r="AL12" s="28" t="str">
        <x:f>IF(OR('Project Schedule'!$G10="",'Project Schedule'!$H10=""),"",IF(AND(AL$4&gt;='Project Schedule'!$G10,AL$4&lt;='Project Schedule'!$H10),IF('Project Schedule'!$D10="Milestone","◆",IF('Project Schedule'!$D10="Phase Header","","■")),""))</x:f>
      </x:c>
      <x:c r="AM12" s="28" t="str">
        <x:f>IF(OR('Project Schedule'!$G10="",'Project Schedule'!$H10=""),"",IF(AND(AM$4&gt;='Project Schedule'!$G10,AM$4&lt;='Project Schedule'!$H10),IF('Project Schedule'!$D10="Milestone","◆",IF('Project Schedule'!$D10="Phase Header","","■")),""))</x:f>
      </x:c>
      <x:c r="AN12" s="28" t="str">
        <x:f>IF(OR('Project Schedule'!$G10="",'Project Schedule'!$H10=""),"",IF(AND(AN$4&gt;='Project Schedule'!$G10,AN$4&lt;='Project Schedule'!$H10),IF('Project Schedule'!$D10="Milestone","◆",IF('Project Schedule'!$D10="Phase Header","","■")),""))</x:f>
      </x:c>
      <x:c r="AO12" s="28" t="str">
        <x:f>IF(OR('Project Schedule'!$G10="",'Project Schedule'!$H10=""),"",IF(AND(AO$4&gt;='Project Schedule'!$G10,AO$4&lt;='Project Schedule'!$H10),IF('Project Schedule'!$D10="Milestone","◆",IF('Project Schedule'!$D10="Phase Header","","■")),""))</x:f>
      </x:c>
      <x:c r="AP12" s="28" t="str">
        <x:f>IF(OR('Project Schedule'!$G10="",'Project Schedule'!$H10=""),"",IF(AND(AP$4&gt;='Project Schedule'!$G10,AP$4&lt;='Project Schedule'!$H10),IF('Project Schedule'!$D10="Milestone","◆",IF('Project Schedule'!$D10="Phase Header","","■")),""))</x:f>
      </x:c>
      <x:c r="AQ12" s="28" t="str">
        <x:f>IF(OR('Project Schedule'!$G10="",'Project Schedule'!$H10=""),"",IF(AND(AQ$4&gt;='Project Schedule'!$G10,AQ$4&lt;='Project Schedule'!$H10),IF('Project Schedule'!$D10="Milestone","◆",IF('Project Schedule'!$D10="Phase Header","","■")),""))</x:f>
      </x:c>
      <x:c r="AR12" s="28" t="str">
        <x:f>IF(OR('Project Schedule'!$G10="",'Project Schedule'!$H10=""),"",IF(AND(AR$4&gt;='Project Schedule'!$G10,AR$4&lt;='Project Schedule'!$H10),IF('Project Schedule'!$D10="Milestone","◆",IF('Project Schedule'!$D10="Phase Header","","■")),""))</x:f>
      </x:c>
    </x:row>
    <x:row r="13" ht="32" customHeight="1">
      <x:c r="A13" s="93" t="str">
        <x:f>'Project Schedule'!A11</x:f>
        <x:v>2.3.2</x:v>
      </x:c>
      <x:c r="B13" s="93" t="str">
        <x:f>'Project Schedule'!B11</x:f>
        <x:v>Run cross-clinic acceptance tests</x:v>
      </x:c>
      <x:c r="C13" s="93" t="str">
        <x:f>'Project Schedule'!D11</x:f>
        <x:v>Task</x:v>
      </x:c>
      <x:c r="D13" s="93" t="str">
        <x:f>'Project Schedule'!J11</x:f>
        <x:v>YES</x:v>
      </x:c>
      <x:c r="E13" s="28" t="str">
        <x:f>IF(OR('Project Schedule'!$G11="",'Project Schedule'!$H11=""),"",IF(AND(E$4&gt;='Project Schedule'!$G11,E$4&lt;='Project Schedule'!$H11),IF('Project Schedule'!$D11="Milestone","◆",IF('Project Schedule'!$D11="Phase Header","","■")),""))</x:f>
      </x:c>
      <x:c r="F13" s="28" t="str">
        <x:f>IF(OR('Project Schedule'!$G11="",'Project Schedule'!$H11=""),"",IF(AND(F$4&gt;='Project Schedule'!$G11,F$4&lt;='Project Schedule'!$H11),IF('Project Schedule'!$D11="Milestone","◆",IF('Project Schedule'!$D11="Phase Header","","■")),""))</x:f>
      </x:c>
      <x:c r="G13" s="28" t="str">
        <x:f>IF(OR('Project Schedule'!$G11="",'Project Schedule'!$H11=""),"",IF(AND(G$4&gt;='Project Schedule'!$G11,G$4&lt;='Project Schedule'!$H11),IF('Project Schedule'!$D11="Milestone","◆",IF('Project Schedule'!$D11="Phase Header","","■")),""))</x:f>
      </x:c>
      <x:c r="H13" s="28" t="str">
        <x:f>IF(OR('Project Schedule'!$G11="",'Project Schedule'!$H11=""),"",IF(AND(H$4&gt;='Project Schedule'!$G11,H$4&lt;='Project Schedule'!$H11),IF('Project Schedule'!$D11="Milestone","◆",IF('Project Schedule'!$D11="Phase Header","","■")),""))</x:f>
      </x:c>
      <x:c r="I13" s="28" t="str">
        <x:f>IF(OR('Project Schedule'!$G11="",'Project Schedule'!$H11=""),"",IF(AND(I$4&gt;='Project Schedule'!$G11,I$4&lt;='Project Schedule'!$H11),IF('Project Schedule'!$D11="Milestone","◆",IF('Project Schedule'!$D11="Phase Header","","■")),""))</x:f>
      </x:c>
      <x:c r="J13" s="28" t="str">
        <x:f>IF(OR('Project Schedule'!$G11="",'Project Schedule'!$H11=""),"",IF(AND(J$4&gt;='Project Schedule'!$G11,J$4&lt;='Project Schedule'!$H11),IF('Project Schedule'!$D11="Milestone","◆",IF('Project Schedule'!$D11="Phase Header","","■")),""))</x:f>
        <x:v>■</x:v>
      </x:c>
      <x:c r="K13" s="28" t="str">
        <x:f>IF(OR('Project Schedule'!$G11="",'Project Schedule'!$H11=""),"",IF(AND(K$4&gt;='Project Schedule'!$G11,K$4&lt;='Project Schedule'!$H11),IF('Project Schedule'!$D11="Milestone","◆",IF('Project Schedule'!$D11="Phase Header","","■")),""))</x:f>
      </x:c>
      <x:c r="L13" s="28" t="str">
        <x:f>IF(OR('Project Schedule'!$G11="",'Project Schedule'!$H11=""),"",IF(AND(L$4&gt;='Project Schedule'!$G11,L$4&lt;='Project Schedule'!$H11),IF('Project Schedule'!$D11="Milestone","◆",IF('Project Schedule'!$D11="Phase Header","","■")),""))</x:f>
      </x:c>
      <x:c r="M13" s="28" t="str">
        <x:f>IF(OR('Project Schedule'!$G11="",'Project Schedule'!$H11=""),"",IF(AND(M$4&gt;='Project Schedule'!$G11,M$4&lt;='Project Schedule'!$H11),IF('Project Schedule'!$D11="Milestone","◆",IF('Project Schedule'!$D11="Phase Header","","■")),""))</x:f>
      </x:c>
      <x:c r="N13" s="28" t="str">
        <x:f>IF(OR('Project Schedule'!$G11="",'Project Schedule'!$H11=""),"",IF(AND(N$4&gt;='Project Schedule'!$G11,N$4&lt;='Project Schedule'!$H11),IF('Project Schedule'!$D11="Milestone","◆",IF('Project Schedule'!$D11="Phase Header","","■")),""))</x:f>
      </x:c>
      <x:c r="O13" s="28" t="str">
        <x:f>IF(OR('Project Schedule'!$G11="",'Project Schedule'!$H11=""),"",IF(AND(O$4&gt;='Project Schedule'!$G11,O$4&lt;='Project Schedule'!$H11),IF('Project Schedule'!$D11="Milestone","◆",IF('Project Schedule'!$D11="Phase Header","","■")),""))</x:f>
      </x:c>
      <x:c r="P13" s="28" t="str">
        <x:f>IF(OR('Project Schedule'!$G11="",'Project Schedule'!$H11=""),"",IF(AND(P$4&gt;='Project Schedule'!$G11,P$4&lt;='Project Schedule'!$H11),IF('Project Schedule'!$D11="Milestone","◆",IF('Project Schedule'!$D11="Phase Header","","■")),""))</x:f>
      </x:c>
      <x:c r="Q13" s="28" t="str">
        <x:f>IF(OR('Project Schedule'!$G11="",'Project Schedule'!$H11=""),"",IF(AND(Q$4&gt;='Project Schedule'!$G11,Q$4&lt;='Project Schedule'!$H11),IF('Project Schedule'!$D11="Milestone","◆",IF('Project Schedule'!$D11="Phase Header","","■")),""))</x:f>
      </x:c>
      <x:c r="R13" s="28" t="str">
        <x:f>IF(OR('Project Schedule'!$G11="",'Project Schedule'!$H11=""),"",IF(AND(R$4&gt;='Project Schedule'!$G11,R$4&lt;='Project Schedule'!$H11),IF('Project Schedule'!$D11="Milestone","◆",IF('Project Schedule'!$D11="Phase Header","","■")),""))</x:f>
      </x:c>
      <x:c r="S13" s="28" t="str">
        <x:f>IF(OR('Project Schedule'!$G11="",'Project Schedule'!$H11=""),"",IF(AND(S$4&gt;='Project Schedule'!$G11,S$4&lt;='Project Schedule'!$H11),IF('Project Schedule'!$D11="Milestone","◆",IF('Project Schedule'!$D11="Phase Header","","■")),""))</x:f>
      </x:c>
      <x:c r="T13" s="28" t="str">
        <x:f>IF(OR('Project Schedule'!$G11="",'Project Schedule'!$H11=""),"",IF(AND(T$4&gt;='Project Schedule'!$G11,T$4&lt;='Project Schedule'!$H11),IF('Project Schedule'!$D11="Milestone","◆",IF('Project Schedule'!$D11="Phase Header","","■")),""))</x:f>
      </x:c>
      <x:c r="U13" s="28" t="str">
        <x:f>IF(OR('Project Schedule'!$G11="",'Project Schedule'!$H11=""),"",IF(AND(U$4&gt;='Project Schedule'!$G11,U$4&lt;='Project Schedule'!$H11),IF('Project Schedule'!$D11="Milestone","◆",IF('Project Schedule'!$D11="Phase Header","","■")),""))</x:f>
      </x:c>
      <x:c r="V13" s="28" t="str">
        <x:f>IF(OR('Project Schedule'!$G11="",'Project Schedule'!$H11=""),"",IF(AND(V$4&gt;='Project Schedule'!$G11,V$4&lt;='Project Schedule'!$H11),IF('Project Schedule'!$D11="Milestone","◆",IF('Project Schedule'!$D11="Phase Header","","■")),""))</x:f>
      </x:c>
      <x:c r="W13" s="28" t="str">
        <x:f>IF(OR('Project Schedule'!$G11="",'Project Schedule'!$H11=""),"",IF(AND(W$4&gt;='Project Schedule'!$G11,W$4&lt;='Project Schedule'!$H11),IF('Project Schedule'!$D11="Milestone","◆",IF('Project Schedule'!$D11="Phase Header","","■")),""))</x:f>
      </x:c>
      <x:c r="X13" s="28" t="str">
        <x:f>IF(OR('Project Schedule'!$G11="",'Project Schedule'!$H11=""),"",IF(AND(X$4&gt;='Project Schedule'!$G11,X$4&lt;='Project Schedule'!$H11),IF('Project Schedule'!$D11="Milestone","◆",IF('Project Schedule'!$D11="Phase Header","","■")),""))</x:f>
      </x:c>
      <x:c r="Y13" s="28" t="str">
        <x:f>IF(OR('Project Schedule'!$G11="",'Project Schedule'!$H11=""),"",IF(AND(Y$4&gt;='Project Schedule'!$G11,Y$4&lt;='Project Schedule'!$H11),IF('Project Schedule'!$D11="Milestone","◆",IF('Project Schedule'!$D11="Phase Header","","■")),""))</x:f>
      </x:c>
      <x:c r="Z13" s="28" t="str">
        <x:f>IF(OR('Project Schedule'!$G11="",'Project Schedule'!$H11=""),"",IF(AND(Z$4&gt;='Project Schedule'!$G11,Z$4&lt;='Project Schedule'!$H11),IF('Project Schedule'!$D11="Milestone","◆",IF('Project Schedule'!$D11="Phase Header","","■")),""))</x:f>
      </x:c>
      <x:c r="AA13" s="28" t="str">
        <x:f>IF(OR('Project Schedule'!$G11="",'Project Schedule'!$H11=""),"",IF(AND(AA$4&gt;='Project Schedule'!$G11,AA$4&lt;='Project Schedule'!$H11),IF('Project Schedule'!$D11="Milestone","◆",IF('Project Schedule'!$D11="Phase Header","","■")),""))</x:f>
      </x:c>
      <x:c r="AB13" s="28" t="str">
        <x:f>IF(OR('Project Schedule'!$G11="",'Project Schedule'!$H11=""),"",IF(AND(AB$4&gt;='Project Schedule'!$G11,AB$4&lt;='Project Schedule'!$H11),IF('Project Schedule'!$D11="Milestone","◆",IF('Project Schedule'!$D11="Phase Header","","■")),""))</x:f>
      </x:c>
      <x:c r="AC13" s="28" t="str">
        <x:f>IF(OR('Project Schedule'!$G11="",'Project Schedule'!$H11=""),"",IF(AND(AC$4&gt;='Project Schedule'!$G11,AC$4&lt;='Project Schedule'!$H11),IF('Project Schedule'!$D11="Milestone","◆",IF('Project Schedule'!$D11="Phase Header","","■")),""))</x:f>
      </x:c>
      <x:c r="AD13" s="28" t="str">
        <x:f>IF(OR('Project Schedule'!$G11="",'Project Schedule'!$H11=""),"",IF(AND(AD$4&gt;='Project Schedule'!$G11,AD$4&lt;='Project Schedule'!$H11),IF('Project Schedule'!$D11="Milestone","◆",IF('Project Schedule'!$D11="Phase Header","","■")),""))</x:f>
      </x:c>
      <x:c r="AE13" s="28" t="str">
        <x:f>IF(OR('Project Schedule'!$G11="",'Project Schedule'!$H11=""),"",IF(AND(AE$4&gt;='Project Schedule'!$G11,AE$4&lt;='Project Schedule'!$H11),IF('Project Schedule'!$D11="Milestone","◆",IF('Project Schedule'!$D11="Phase Header","","■")),""))</x:f>
      </x:c>
      <x:c r="AF13" s="28" t="str">
        <x:f>IF(OR('Project Schedule'!$G11="",'Project Schedule'!$H11=""),"",IF(AND(AF$4&gt;='Project Schedule'!$G11,AF$4&lt;='Project Schedule'!$H11),IF('Project Schedule'!$D11="Milestone","◆",IF('Project Schedule'!$D11="Phase Header","","■")),""))</x:f>
      </x:c>
      <x:c r="AG13" s="28" t="str">
        <x:f>IF(OR('Project Schedule'!$G11="",'Project Schedule'!$H11=""),"",IF(AND(AG$4&gt;='Project Schedule'!$G11,AG$4&lt;='Project Schedule'!$H11),IF('Project Schedule'!$D11="Milestone","◆",IF('Project Schedule'!$D11="Phase Header","","■")),""))</x:f>
      </x:c>
      <x:c r="AH13" s="28" t="str">
        <x:f>IF(OR('Project Schedule'!$G11="",'Project Schedule'!$H11=""),"",IF(AND(AH$4&gt;='Project Schedule'!$G11,AH$4&lt;='Project Schedule'!$H11),IF('Project Schedule'!$D11="Milestone","◆",IF('Project Schedule'!$D11="Phase Header","","■")),""))</x:f>
      </x:c>
      <x:c r="AI13" s="28" t="str">
        <x:f>IF(OR('Project Schedule'!$G11="",'Project Schedule'!$H11=""),"",IF(AND(AI$4&gt;='Project Schedule'!$G11,AI$4&lt;='Project Schedule'!$H11),IF('Project Schedule'!$D11="Milestone","◆",IF('Project Schedule'!$D11="Phase Header","","■")),""))</x:f>
      </x:c>
      <x:c r="AJ13" s="28" t="str">
        <x:f>IF(OR('Project Schedule'!$G11="",'Project Schedule'!$H11=""),"",IF(AND(AJ$4&gt;='Project Schedule'!$G11,AJ$4&lt;='Project Schedule'!$H11),IF('Project Schedule'!$D11="Milestone","◆",IF('Project Schedule'!$D11="Phase Header","","■")),""))</x:f>
      </x:c>
      <x:c r="AK13" s="28" t="str">
        <x:f>IF(OR('Project Schedule'!$G11="",'Project Schedule'!$H11=""),"",IF(AND(AK$4&gt;='Project Schedule'!$G11,AK$4&lt;='Project Schedule'!$H11),IF('Project Schedule'!$D11="Milestone","◆",IF('Project Schedule'!$D11="Phase Header","","■")),""))</x:f>
      </x:c>
      <x:c r="AL13" s="28" t="str">
        <x:f>IF(OR('Project Schedule'!$G11="",'Project Schedule'!$H11=""),"",IF(AND(AL$4&gt;='Project Schedule'!$G11,AL$4&lt;='Project Schedule'!$H11),IF('Project Schedule'!$D11="Milestone","◆",IF('Project Schedule'!$D11="Phase Header","","■")),""))</x:f>
      </x:c>
      <x:c r="AM13" s="28" t="str">
        <x:f>IF(OR('Project Schedule'!$G11="",'Project Schedule'!$H11=""),"",IF(AND(AM$4&gt;='Project Schedule'!$G11,AM$4&lt;='Project Schedule'!$H11),IF('Project Schedule'!$D11="Milestone","◆",IF('Project Schedule'!$D11="Phase Header","","■")),""))</x:f>
      </x:c>
      <x:c r="AN13" s="28" t="str">
        <x:f>IF(OR('Project Schedule'!$G11="",'Project Schedule'!$H11=""),"",IF(AND(AN$4&gt;='Project Schedule'!$G11,AN$4&lt;='Project Schedule'!$H11),IF('Project Schedule'!$D11="Milestone","◆",IF('Project Schedule'!$D11="Phase Header","","■")),""))</x:f>
      </x:c>
      <x:c r="AO13" s="28" t="str">
        <x:f>IF(OR('Project Schedule'!$G11="",'Project Schedule'!$H11=""),"",IF(AND(AO$4&gt;='Project Schedule'!$G11,AO$4&lt;='Project Schedule'!$H11),IF('Project Schedule'!$D11="Milestone","◆",IF('Project Schedule'!$D11="Phase Header","","■")),""))</x:f>
      </x:c>
      <x:c r="AP13" s="28" t="str">
        <x:f>IF(OR('Project Schedule'!$G11="",'Project Schedule'!$H11=""),"",IF(AND(AP$4&gt;='Project Schedule'!$G11,AP$4&lt;='Project Schedule'!$H11),IF('Project Schedule'!$D11="Milestone","◆",IF('Project Schedule'!$D11="Phase Header","","■")),""))</x:f>
      </x:c>
      <x:c r="AQ13" s="28" t="str">
        <x:f>IF(OR('Project Schedule'!$G11="",'Project Schedule'!$H11=""),"",IF(AND(AQ$4&gt;='Project Schedule'!$G11,AQ$4&lt;='Project Schedule'!$H11),IF('Project Schedule'!$D11="Milestone","◆",IF('Project Schedule'!$D11="Phase Header","","■")),""))</x:f>
      </x:c>
      <x:c r="AR13" s="28" t="str">
        <x:f>IF(OR('Project Schedule'!$G11="",'Project Schedule'!$H11=""),"",IF(AND(AR$4&gt;='Project Schedule'!$G11,AR$4&lt;='Project Schedule'!$H11),IF('Project Schedule'!$D11="Milestone","◆",IF('Project Schedule'!$D11="Phase Header","","■")),""))</x:f>
      </x:c>
    </x:row>
    <x:row r="14" ht="32" customHeight="1">
      <x:c r="A14" s="93" t="str">
        <x:f>'Project Schedule'!A12</x:f>
        <x:v>2.3.3</x:v>
      </x:c>
      <x:c r="B14" s="93" t="str">
        <x:f>'Project Schedule'!B12</x:f>
        <x:v>Core solution accepted for pilot</x:v>
      </x:c>
      <x:c r="C14" s="93" t="str">
        <x:f>'Project Schedule'!D12</x:f>
        <x:v>Milestone</x:v>
      </x:c>
      <x:c r="D14" s="93" t="n">
        <x:f>'Project Schedule'!J12</x:f>
        <x:v>0</x:v>
      </x:c>
      <x:c r="E14" s="28" t="str">
        <x:f>IF(OR('Project Schedule'!$G12="",'Project Schedule'!$H12=""),"",IF(AND(E$4&gt;='Project Schedule'!$G12,E$4&lt;='Project Schedule'!$H12),IF('Project Schedule'!$D12="Milestone","◆",IF('Project Schedule'!$D12="Phase Header","","■")),""))</x:f>
      </x:c>
      <x:c r="F14" s="28" t="str">
        <x:f>IF(OR('Project Schedule'!$G12="",'Project Schedule'!$H12=""),"",IF(AND(F$4&gt;='Project Schedule'!$G12,F$4&lt;='Project Schedule'!$H12),IF('Project Schedule'!$D12="Milestone","◆",IF('Project Schedule'!$D12="Phase Header","","■")),""))</x:f>
      </x:c>
      <x:c r="G14" s="28" t="str">
        <x:f>IF(OR('Project Schedule'!$G12="",'Project Schedule'!$H12=""),"",IF(AND(G$4&gt;='Project Schedule'!$G12,G$4&lt;='Project Schedule'!$H12),IF('Project Schedule'!$D12="Milestone","◆",IF('Project Schedule'!$D12="Phase Header","","■")),""))</x:f>
      </x:c>
      <x:c r="H14" s="28" t="str">
        <x:f>IF(OR('Project Schedule'!$G12="",'Project Schedule'!$H12=""),"",IF(AND(H$4&gt;='Project Schedule'!$G12,H$4&lt;='Project Schedule'!$H12),IF('Project Schedule'!$D12="Milestone","◆",IF('Project Schedule'!$D12="Phase Header","","■")),""))</x:f>
      </x:c>
      <x:c r="I14" s="28" t="str">
        <x:f>IF(OR('Project Schedule'!$G12="",'Project Schedule'!$H12=""),"",IF(AND(I$4&gt;='Project Schedule'!$G12,I$4&lt;='Project Schedule'!$H12),IF('Project Schedule'!$D12="Milestone","◆",IF('Project Schedule'!$D12="Phase Header","","■")),""))</x:f>
      </x:c>
      <x:c r="J14" s="28" t="str">
        <x:f>IF(OR('Project Schedule'!$G12="",'Project Schedule'!$H12=""),"",IF(AND(J$4&gt;='Project Schedule'!$G12,J$4&lt;='Project Schedule'!$H12),IF('Project Schedule'!$D12="Milestone","◆",IF('Project Schedule'!$D12="Phase Header","","■")),""))</x:f>
        <x:v>◆</x:v>
      </x:c>
      <x:c r="K14" s="28" t="str">
        <x:f>IF(OR('Project Schedule'!$G12="",'Project Schedule'!$H12=""),"",IF(AND(K$4&gt;='Project Schedule'!$G12,K$4&lt;='Project Schedule'!$H12),IF('Project Schedule'!$D12="Milestone","◆",IF('Project Schedule'!$D12="Phase Header","","■")),""))</x:f>
      </x:c>
      <x:c r="L14" s="28" t="str">
        <x:f>IF(OR('Project Schedule'!$G12="",'Project Schedule'!$H12=""),"",IF(AND(L$4&gt;='Project Schedule'!$G12,L$4&lt;='Project Schedule'!$H12),IF('Project Schedule'!$D12="Milestone","◆",IF('Project Schedule'!$D12="Phase Header","","■")),""))</x:f>
      </x:c>
      <x:c r="M14" s="28" t="str">
        <x:f>IF(OR('Project Schedule'!$G12="",'Project Schedule'!$H12=""),"",IF(AND(M$4&gt;='Project Schedule'!$G12,M$4&lt;='Project Schedule'!$H12),IF('Project Schedule'!$D12="Milestone","◆",IF('Project Schedule'!$D12="Phase Header","","■")),""))</x:f>
      </x:c>
      <x:c r="N14" s="28" t="str">
        <x:f>IF(OR('Project Schedule'!$G12="",'Project Schedule'!$H12=""),"",IF(AND(N$4&gt;='Project Schedule'!$G12,N$4&lt;='Project Schedule'!$H12),IF('Project Schedule'!$D12="Milestone","◆",IF('Project Schedule'!$D12="Phase Header","","■")),""))</x:f>
      </x:c>
      <x:c r="O14" s="28" t="str">
        <x:f>IF(OR('Project Schedule'!$G12="",'Project Schedule'!$H12=""),"",IF(AND(O$4&gt;='Project Schedule'!$G12,O$4&lt;='Project Schedule'!$H12),IF('Project Schedule'!$D12="Milestone","◆",IF('Project Schedule'!$D12="Phase Header","","■")),""))</x:f>
      </x:c>
      <x:c r="P14" s="28" t="str">
        <x:f>IF(OR('Project Schedule'!$G12="",'Project Schedule'!$H12=""),"",IF(AND(P$4&gt;='Project Schedule'!$G12,P$4&lt;='Project Schedule'!$H12),IF('Project Schedule'!$D12="Milestone","◆",IF('Project Schedule'!$D12="Phase Header","","■")),""))</x:f>
      </x:c>
      <x:c r="Q14" s="28" t="str">
        <x:f>IF(OR('Project Schedule'!$G12="",'Project Schedule'!$H12=""),"",IF(AND(Q$4&gt;='Project Schedule'!$G12,Q$4&lt;='Project Schedule'!$H12),IF('Project Schedule'!$D12="Milestone","◆",IF('Project Schedule'!$D12="Phase Header","","■")),""))</x:f>
      </x:c>
      <x:c r="R14" s="28" t="str">
        <x:f>IF(OR('Project Schedule'!$G12="",'Project Schedule'!$H12=""),"",IF(AND(R$4&gt;='Project Schedule'!$G12,R$4&lt;='Project Schedule'!$H12),IF('Project Schedule'!$D12="Milestone","◆",IF('Project Schedule'!$D12="Phase Header","","■")),""))</x:f>
      </x:c>
      <x:c r="S14" s="28" t="str">
        <x:f>IF(OR('Project Schedule'!$G12="",'Project Schedule'!$H12=""),"",IF(AND(S$4&gt;='Project Schedule'!$G12,S$4&lt;='Project Schedule'!$H12),IF('Project Schedule'!$D12="Milestone","◆",IF('Project Schedule'!$D12="Phase Header","","■")),""))</x:f>
      </x:c>
      <x:c r="T14" s="28" t="str">
        <x:f>IF(OR('Project Schedule'!$G12="",'Project Schedule'!$H12=""),"",IF(AND(T$4&gt;='Project Schedule'!$G12,T$4&lt;='Project Schedule'!$H12),IF('Project Schedule'!$D12="Milestone","◆",IF('Project Schedule'!$D12="Phase Header","","■")),""))</x:f>
      </x:c>
      <x:c r="U14" s="28" t="str">
        <x:f>IF(OR('Project Schedule'!$G12="",'Project Schedule'!$H12=""),"",IF(AND(U$4&gt;='Project Schedule'!$G12,U$4&lt;='Project Schedule'!$H12),IF('Project Schedule'!$D12="Milestone","◆",IF('Project Schedule'!$D12="Phase Header","","■")),""))</x:f>
      </x:c>
      <x:c r="V14" s="28" t="str">
        <x:f>IF(OR('Project Schedule'!$G12="",'Project Schedule'!$H12=""),"",IF(AND(V$4&gt;='Project Schedule'!$G12,V$4&lt;='Project Schedule'!$H12),IF('Project Schedule'!$D12="Milestone","◆",IF('Project Schedule'!$D12="Phase Header","","■")),""))</x:f>
      </x:c>
      <x:c r="W14" s="28" t="str">
        <x:f>IF(OR('Project Schedule'!$G12="",'Project Schedule'!$H12=""),"",IF(AND(W$4&gt;='Project Schedule'!$G12,W$4&lt;='Project Schedule'!$H12),IF('Project Schedule'!$D12="Milestone","◆",IF('Project Schedule'!$D12="Phase Header","","■")),""))</x:f>
      </x:c>
      <x:c r="X14" s="28" t="str">
        <x:f>IF(OR('Project Schedule'!$G12="",'Project Schedule'!$H12=""),"",IF(AND(X$4&gt;='Project Schedule'!$G12,X$4&lt;='Project Schedule'!$H12),IF('Project Schedule'!$D12="Milestone","◆",IF('Project Schedule'!$D12="Phase Header","","■")),""))</x:f>
      </x:c>
      <x:c r="Y14" s="28" t="str">
        <x:f>IF(OR('Project Schedule'!$G12="",'Project Schedule'!$H12=""),"",IF(AND(Y$4&gt;='Project Schedule'!$G12,Y$4&lt;='Project Schedule'!$H12),IF('Project Schedule'!$D12="Milestone","◆",IF('Project Schedule'!$D12="Phase Header","","■")),""))</x:f>
      </x:c>
      <x:c r="Z14" s="28" t="str">
        <x:f>IF(OR('Project Schedule'!$G12="",'Project Schedule'!$H12=""),"",IF(AND(Z$4&gt;='Project Schedule'!$G12,Z$4&lt;='Project Schedule'!$H12),IF('Project Schedule'!$D12="Milestone","◆",IF('Project Schedule'!$D12="Phase Header","","■")),""))</x:f>
      </x:c>
      <x:c r="AA14" s="28" t="str">
        <x:f>IF(OR('Project Schedule'!$G12="",'Project Schedule'!$H12=""),"",IF(AND(AA$4&gt;='Project Schedule'!$G12,AA$4&lt;='Project Schedule'!$H12),IF('Project Schedule'!$D12="Milestone","◆",IF('Project Schedule'!$D12="Phase Header","","■")),""))</x:f>
      </x:c>
      <x:c r="AB14" s="28" t="str">
        <x:f>IF(OR('Project Schedule'!$G12="",'Project Schedule'!$H12=""),"",IF(AND(AB$4&gt;='Project Schedule'!$G12,AB$4&lt;='Project Schedule'!$H12),IF('Project Schedule'!$D12="Milestone","◆",IF('Project Schedule'!$D12="Phase Header","","■")),""))</x:f>
      </x:c>
      <x:c r="AC14" s="28" t="str">
        <x:f>IF(OR('Project Schedule'!$G12="",'Project Schedule'!$H12=""),"",IF(AND(AC$4&gt;='Project Schedule'!$G12,AC$4&lt;='Project Schedule'!$H12),IF('Project Schedule'!$D12="Milestone","◆",IF('Project Schedule'!$D12="Phase Header","","■")),""))</x:f>
      </x:c>
      <x:c r="AD14" s="28" t="str">
        <x:f>IF(OR('Project Schedule'!$G12="",'Project Schedule'!$H12=""),"",IF(AND(AD$4&gt;='Project Schedule'!$G12,AD$4&lt;='Project Schedule'!$H12),IF('Project Schedule'!$D12="Milestone","◆",IF('Project Schedule'!$D12="Phase Header","","■")),""))</x:f>
      </x:c>
      <x:c r="AE14" s="28" t="str">
        <x:f>IF(OR('Project Schedule'!$G12="",'Project Schedule'!$H12=""),"",IF(AND(AE$4&gt;='Project Schedule'!$G12,AE$4&lt;='Project Schedule'!$H12),IF('Project Schedule'!$D12="Milestone","◆",IF('Project Schedule'!$D12="Phase Header","","■")),""))</x:f>
      </x:c>
      <x:c r="AF14" s="28" t="str">
        <x:f>IF(OR('Project Schedule'!$G12="",'Project Schedule'!$H12=""),"",IF(AND(AF$4&gt;='Project Schedule'!$G12,AF$4&lt;='Project Schedule'!$H12),IF('Project Schedule'!$D12="Milestone","◆",IF('Project Schedule'!$D12="Phase Header","","■")),""))</x:f>
      </x:c>
      <x:c r="AG14" s="28" t="str">
        <x:f>IF(OR('Project Schedule'!$G12="",'Project Schedule'!$H12=""),"",IF(AND(AG$4&gt;='Project Schedule'!$G12,AG$4&lt;='Project Schedule'!$H12),IF('Project Schedule'!$D12="Milestone","◆",IF('Project Schedule'!$D12="Phase Header","","■")),""))</x:f>
      </x:c>
      <x:c r="AH14" s="28" t="str">
        <x:f>IF(OR('Project Schedule'!$G12="",'Project Schedule'!$H12=""),"",IF(AND(AH$4&gt;='Project Schedule'!$G12,AH$4&lt;='Project Schedule'!$H12),IF('Project Schedule'!$D12="Milestone","◆",IF('Project Schedule'!$D12="Phase Header","","■")),""))</x:f>
      </x:c>
      <x:c r="AI14" s="28" t="str">
        <x:f>IF(OR('Project Schedule'!$G12="",'Project Schedule'!$H12=""),"",IF(AND(AI$4&gt;='Project Schedule'!$G12,AI$4&lt;='Project Schedule'!$H12),IF('Project Schedule'!$D12="Milestone","◆",IF('Project Schedule'!$D12="Phase Header","","■")),""))</x:f>
      </x:c>
      <x:c r="AJ14" s="28" t="str">
        <x:f>IF(OR('Project Schedule'!$G12="",'Project Schedule'!$H12=""),"",IF(AND(AJ$4&gt;='Project Schedule'!$G12,AJ$4&lt;='Project Schedule'!$H12),IF('Project Schedule'!$D12="Milestone","◆",IF('Project Schedule'!$D12="Phase Header","","■")),""))</x:f>
      </x:c>
      <x:c r="AK14" s="28" t="str">
        <x:f>IF(OR('Project Schedule'!$G12="",'Project Schedule'!$H12=""),"",IF(AND(AK$4&gt;='Project Schedule'!$G12,AK$4&lt;='Project Schedule'!$H12),IF('Project Schedule'!$D12="Milestone","◆",IF('Project Schedule'!$D12="Phase Header","","■")),""))</x:f>
      </x:c>
      <x:c r="AL14" s="28" t="str">
        <x:f>IF(OR('Project Schedule'!$G12="",'Project Schedule'!$H12=""),"",IF(AND(AL$4&gt;='Project Schedule'!$G12,AL$4&lt;='Project Schedule'!$H12),IF('Project Schedule'!$D12="Milestone","◆",IF('Project Schedule'!$D12="Phase Header","","■")),""))</x:f>
      </x:c>
      <x:c r="AM14" s="28" t="str">
        <x:f>IF(OR('Project Schedule'!$G12="",'Project Schedule'!$H12=""),"",IF(AND(AM$4&gt;='Project Schedule'!$G12,AM$4&lt;='Project Schedule'!$H12),IF('Project Schedule'!$D12="Milestone","◆",IF('Project Schedule'!$D12="Phase Header","","■")),""))</x:f>
      </x:c>
      <x:c r="AN14" s="28" t="str">
        <x:f>IF(OR('Project Schedule'!$G12="",'Project Schedule'!$H12=""),"",IF(AND(AN$4&gt;='Project Schedule'!$G12,AN$4&lt;='Project Schedule'!$H12),IF('Project Schedule'!$D12="Milestone","◆",IF('Project Schedule'!$D12="Phase Header","","■")),""))</x:f>
      </x:c>
      <x:c r="AO14" s="28" t="str">
        <x:f>IF(OR('Project Schedule'!$G12="",'Project Schedule'!$H12=""),"",IF(AND(AO$4&gt;='Project Schedule'!$G12,AO$4&lt;='Project Schedule'!$H12),IF('Project Schedule'!$D12="Milestone","◆",IF('Project Schedule'!$D12="Phase Header","","■")),""))</x:f>
      </x:c>
      <x:c r="AP14" s="28" t="str">
        <x:f>IF(OR('Project Schedule'!$G12="",'Project Schedule'!$H12=""),"",IF(AND(AP$4&gt;='Project Schedule'!$G12,AP$4&lt;='Project Schedule'!$H12),IF('Project Schedule'!$D12="Milestone","◆",IF('Project Schedule'!$D12="Phase Header","","■")),""))</x:f>
      </x:c>
      <x:c r="AQ14" s="28" t="str">
        <x:f>IF(OR('Project Schedule'!$G12="",'Project Schedule'!$H12=""),"",IF(AND(AQ$4&gt;='Project Schedule'!$G12,AQ$4&lt;='Project Schedule'!$H12),IF('Project Schedule'!$D12="Milestone","◆",IF('Project Schedule'!$D12="Phase Header","","■")),""))</x:f>
      </x:c>
      <x:c r="AR14" s="28" t="str">
        <x:f>IF(OR('Project Schedule'!$G12="",'Project Schedule'!$H12=""),"",IF(AND(AR$4&gt;='Project Schedule'!$G12,AR$4&lt;='Project Schedule'!$H12),IF('Project Schedule'!$D12="Milestone","◆",IF('Project Schedule'!$D12="Phase Header","","■")),""))</x:f>
      </x:c>
    </x:row>
    <x:row r="15" ht="32" customHeight="1">
      <x:c r="A15" s="93" t="str">
        <x:f>'Project Schedule'!A13</x:f>
        <x:v>3.0</x:v>
      </x:c>
      <x:c r="B15" s="93" t="str">
        <x:f>'Project Schedule'!B13</x:f>
        <x:v>CLINIC READINESS AND ROLLOUT</x:v>
      </x:c>
      <x:c r="C15" s="93" t="str">
        <x:f>'Project Schedule'!D13</x:f>
        <x:v>Phase Header</x:v>
      </x:c>
      <x:c r="D15" s="93" t="n">
        <x:f>'Project Schedule'!J13</x:f>
        <x:v>0</x:v>
      </x:c>
      <x:c r="E15" s="28" t="str">
        <x:f>IF(OR('Project Schedule'!$G13="",'Project Schedule'!$H13=""),"",IF(AND(E$4&gt;='Project Schedule'!$G13,E$4&lt;='Project Schedule'!$H13),IF('Project Schedule'!$D13="Milestone","◆",IF('Project Schedule'!$D13="Phase Header","","■")),""))</x:f>
      </x:c>
      <x:c r="F15" s="28" t="str">
        <x:f>IF(OR('Project Schedule'!$G13="",'Project Schedule'!$H13=""),"",IF(AND(F$4&gt;='Project Schedule'!$G13,F$4&lt;='Project Schedule'!$H13),IF('Project Schedule'!$D13="Milestone","◆",IF('Project Schedule'!$D13="Phase Header","","■")),""))</x:f>
      </x:c>
      <x:c r="G15" s="28" t="str">
        <x:f>IF(OR('Project Schedule'!$G13="",'Project Schedule'!$H13=""),"",IF(AND(G$4&gt;='Project Schedule'!$G13,G$4&lt;='Project Schedule'!$H13),IF('Project Schedule'!$D13="Milestone","◆",IF('Project Schedule'!$D13="Phase Header","","■")),""))</x:f>
      </x:c>
      <x:c r="H15" s="28" t="str">
        <x:f>IF(OR('Project Schedule'!$G13="",'Project Schedule'!$H13=""),"",IF(AND(H$4&gt;='Project Schedule'!$G13,H$4&lt;='Project Schedule'!$H13),IF('Project Schedule'!$D13="Milestone","◆",IF('Project Schedule'!$D13="Phase Header","","■")),""))</x:f>
      </x:c>
      <x:c r="I15" s="28" t="str">
        <x:f>IF(OR('Project Schedule'!$G13="",'Project Schedule'!$H13=""),"",IF(AND(I$4&gt;='Project Schedule'!$G13,I$4&lt;='Project Schedule'!$H13),IF('Project Schedule'!$D13="Milestone","◆",IF('Project Schedule'!$D13="Phase Header","","■")),""))</x:f>
      </x:c>
      <x:c r="J15" s="28" t="str">
        <x:f>IF(OR('Project Schedule'!$G13="",'Project Schedule'!$H13=""),"",IF(AND(J$4&gt;='Project Schedule'!$G13,J$4&lt;='Project Schedule'!$H13),IF('Project Schedule'!$D13="Milestone","◆",IF('Project Schedule'!$D13="Phase Header","","■")),""))</x:f>
      </x:c>
      <x:c r="K15" s="28" t="str">
        <x:f>IF(OR('Project Schedule'!$G13="",'Project Schedule'!$H13=""),"",IF(AND(K$4&gt;='Project Schedule'!$G13,K$4&lt;='Project Schedule'!$H13),IF('Project Schedule'!$D13="Milestone","◆",IF('Project Schedule'!$D13="Phase Header","","■")),""))</x:f>
      </x:c>
      <x:c r="L15" s="28" t="str">
        <x:f>IF(OR('Project Schedule'!$G13="",'Project Schedule'!$H13=""),"",IF(AND(L$4&gt;='Project Schedule'!$G13,L$4&lt;='Project Schedule'!$H13),IF('Project Schedule'!$D13="Milestone","◆",IF('Project Schedule'!$D13="Phase Header","","■")),""))</x:f>
      </x:c>
      <x:c r="M15" s="28" t="str">
        <x:f>IF(OR('Project Schedule'!$G13="",'Project Schedule'!$H13=""),"",IF(AND(M$4&gt;='Project Schedule'!$G13,M$4&lt;='Project Schedule'!$H13),IF('Project Schedule'!$D13="Milestone","◆",IF('Project Schedule'!$D13="Phase Header","","■")),""))</x:f>
      </x:c>
      <x:c r="N15" s="28" t="str">
        <x:f>IF(OR('Project Schedule'!$G13="",'Project Schedule'!$H13=""),"",IF(AND(N$4&gt;='Project Schedule'!$G13,N$4&lt;='Project Schedule'!$H13),IF('Project Schedule'!$D13="Milestone","◆",IF('Project Schedule'!$D13="Phase Header","","■")),""))</x:f>
      </x:c>
      <x:c r="O15" s="28" t="str">
        <x:f>IF(OR('Project Schedule'!$G13="",'Project Schedule'!$H13=""),"",IF(AND(O$4&gt;='Project Schedule'!$G13,O$4&lt;='Project Schedule'!$H13),IF('Project Schedule'!$D13="Milestone","◆",IF('Project Schedule'!$D13="Phase Header","","■")),""))</x:f>
      </x:c>
      <x:c r="P15" s="28" t="str">
        <x:f>IF(OR('Project Schedule'!$G13="",'Project Schedule'!$H13=""),"",IF(AND(P$4&gt;='Project Schedule'!$G13,P$4&lt;='Project Schedule'!$H13),IF('Project Schedule'!$D13="Milestone","◆",IF('Project Schedule'!$D13="Phase Header","","■")),""))</x:f>
      </x:c>
      <x:c r="Q15" s="28" t="str">
        <x:f>IF(OR('Project Schedule'!$G13="",'Project Schedule'!$H13=""),"",IF(AND(Q$4&gt;='Project Schedule'!$G13,Q$4&lt;='Project Schedule'!$H13),IF('Project Schedule'!$D13="Milestone","◆",IF('Project Schedule'!$D13="Phase Header","","■")),""))</x:f>
      </x:c>
      <x:c r="R15" s="28" t="str">
        <x:f>IF(OR('Project Schedule'!$G13="",'Project Schedule'!$H13=""),"",IF(AND(R$4&gt;='Project Schedule'!$G13,R$4&lt;='Project Schedule'!$H13),IF('Project Schedule'!$D13="Milestone","◆",IF('Project Schedule'!$D13="Phase Header","","■")),""))</x:f>
      </x:c>
      <x:c r="S15" s="28" t="str">
        <x:f>IF(OR('Project Schedule'!$G13="",'Project Schedule'!$H13=""),"",IF(AND(S$4&gt;='Project Schedule'!$G13,S$4&lt;='Project Schedule'!$H13),IF('Project Schedule'!$D13="Milestone","◆",IF('Project Schedule'!$D13="Phase Header","","■")),""))</x:f>
      </x:c>
      <x:c r="T15" s="28" t="str">
        <x:f>IF(OR('Project Schedule'!$G13="",'Project Schedule'!$H13=""),"",IF(AND(T$4&gt;='Project Schedule'!$G13,T$4&lt;='Project Schedule'!$H13),IF('Project Schedule'!$D13="Milestone","◆",IF('Project Schedule'!$D13="Phase Header","","■")),""))</x:f>
      </x:c>
      <x:c r="U15" s="28" t="str">
        <x:f>IF(OR('Project Schedule'!$G13="",'Project Schedule'!$H13=""),"",IF(AND(U$4&gt;='Project Schedule'!$G13,U$4&lt;='Project Schedule'!$H13),IF('Project Schedule'!$D13="Milestone","◆",IF('Project Schedule'!$D13="Phase Header","","■")),""))</x:f>
      </x:c>
      <x:c r="V15" s="28" t="str">
        <x:f>IF(OR('Project Schedule'!$G13="",'Project Schedule'!$H13=""),"",IF(AND(V$4&gt;='Project Schedule'!$G13,V$4&lt;='Project Schedule'!$H13),IF('Project Schedule'!$D13="Milestone","◆",IF('Project Schedule'!$D13="Phase Header","","■")),""))</x:f>
      </x:c>
      <x:c r="W15" s="28" t="str">
        <x:f>IF(OR('Project Schedule'!$G13="",'Project Schedule'!$H13=""),"",IF(AND(W$4&gt;='Project Schedule'!$G13,W$4&lt;='Project Schedule'!$H13),IF('Project Schedule'!$D13="Milestone","◆",IF('Project Schedule'!$D13="Phase Header","","■")),""))</x:f>
      </x:c>
      <x:c r="X15" s="28" t="str">
        <x:f>IF(OR('Project Schedule'!$G13="",'Project Schedule'!$H13=""),"",IF(AND(X$4&gt;='Project Schedule'!$G13,X$4&lt;='Project Schedule'!$H13),IF('Project Schedule'!$D13="Milestone","◆",IF('Project Schedule'!$D13="Phase Header","","■")),""))</x:f>
      </x:c>
      <x:c r="Y15" s="28" t="str">
        <x:f>IF(OR('Project Schedule'!$G13="",'Project Schedule'!$H13=""),"",IF(AND(Y$4&gt;='Project Schedule'!$G13,Y$4&lt;='Project Schedule'!$H13),IF('Project Schedule'!$D13="Milestone","◆",IF('Project Schedule'!$D13="Phase Header","","■")),""))</x:f>
      </x:c>
      <x:c r="Z15" s="28" t="str">
        <x:f>IF(OR('Project Schedule'!$G13="",'Project Schedule'!$H13=""),"",IF(AND(Z$4&gt;='Project Schedule'!$G13,Z$4&lt;='Project Schedule'!$H13),IF('Project Schedule'!$D13="Milestone","◆",IF('Project Schedule'!$D13="Phase Header","","■")),""))</x:f>
      </x:c>
      <x:c r="AA15" s="28" t="str">
        <x:f>IF(OR('Project Schedule'!$G13="",'Project Schedule'!$H13=""),"",IF(AND(AA$4&gt;='Project Schedule'!$G13,AA$4&lt;='Project Schedule'!$H13),IF('Project Schedule'!$D13="Milestone","◆",IF('Project Schedule'!$D13="Phase Header","","■")),""))</x:f>
      </x:c>
      <x:c r="AB15" s="28" t="str">
        <x:f>IF(OR('Project Schedule'!$G13="",'Project Schedule'!$H13=""),"",IF(AND(AB$4&gt;='Project Schedule'!$G13,AB$4&lt;='Project Schedule'!$H13),IF('Project Schedule'!$D13="Milestone","◆",IF('Project Schedule'!$D13="Phase Header","","■")),""))</x:f>
      </x:c>
      <x:c r="AC15" s="28" t="str">
        <x:f>IF(OR('Project Schedule'!$G13="",'Project Schedule'!$H13=""),"",IF(AND(AC$4&gt;='Project Schedule'!$G13,AC$4&lt;='Project Schedule'!$H13),IF('Project Schedule'!$D13="Milestone","◆",IF('Project Schedule'!$D13="Phase Header","","■")),""))</x:f>
      </x:c>
      <x:c r="AD15" s="28" t="str">
        <x:f>IF(OR('Project Schedule'!$G13="",'Project Schedule'!$H13=""),"",IF(AND(AD$4&gt;='Project Schedule'!$G13,AD$4&lt;='Project Schedule'!$H13),IF('Project Schedule'!$D13="Milestone","◆",IF('Project Schedule'!$D13="Phase Header","","■")),""))</x:f>
      </x:c>
      <x:c r="AE15" s="28" t="str">
        <x:f>IF(OR('Project Schedule'!$G13="",'Project Schedule'!$H13=""),"",IF(AND(AE$4&gt;='Project Schedule'!$G13,AE$4&lt;='Project Schedule'!$H13),IF('Project Schedule'!$D13="Milestone","◆",IF('Project Schedule'!$D13="Phase Header","","■")),""))</x:f>
      </x:c>
      <x:c r="AF15" s="28" t="str">
        <x:f>IF(OR('Project Schedule'!$G13="",'Project Schedule'!$H13=""),"",IF(AND(AF$4&gt;='Project Schedule'!$G13,AF$4&lt;='Project Schedule'!$H13),IF('Project Schedule'!$D13="Milestone","◆",IF('Project Schedule'!$D13="Phase Header","","■")),""))</x:f>
      </x:c>
      <x:c r="AG15" s="28" t="str">
        <x:f>IF(OR('Project Schedule'!$G13="",'Project Schedule'!$H13=""),"",IF(AND(AG$4&gt;='Project Schedule'!$G13,AG$4&lt;='Project Schedule'!$H13),IF('Project Schedule'!$D13="Milestone","◆",IF('Project Schedule'!$D13="Phase Header","","■")),""))</x:f>
      </x:c>
      <x:c r="AH15" s="28" t="str">
        <x:f>IF(OR('Project Schedule'!$G13="",'Project Schedule'!$H13=""),"",IF(AND(AH$4&gt;='Project Schedule'!$G13,AH$4&lt;='Project Schedule'!$H13),IF('Project Schedule'!$D13="Milestone","◆",IF('Project Schedule'!$D13="Phase Header","","■")),""))</x:f>
      </x:c>
      <x:c r="AI15" s="28" t="str">
        <x:f>IF(OR('Project Schedule'!$G13="",'Project Schedule'!$H13=""),"",IF(AND(AI$4&gt;='Project Schedule'!$G13,AI$4&lt;='Project Schedule'!$H13),IF('Project Schedule'!$D13="Milestone","◆",IF('Project Schedule'!$D13="Phase Header","","■")),""))</x:f>
      </x:c>
      <x:c r="AJ15" s="28" t="str">
        <x:f>IF(OR('Project Schedule'!$G13="",'Project Schedule'!$H13=""),"",IF(AND(AJ$4&gt;='Project Schedule'!$G13,AJ$4&lt;='Project Schedule'!$H13),IF('Project Schedule'!$D13="Milestone","◆",IF('Project Schedule'!$D13="Phase Header","","■")),""))</x:f>
      </x:c>
      <x:c r="AK15" s="28" t="str">
        <x:f>IF(OR('Project Schedule'!$G13="",'Project Schedule'!$H13=""),"",IF(AND(AK$4&gt;='Project Schedule'!$G13,AK$4&lt;='Project Schedule'!$H13),IF('Project Schedule'!$D13="Milestone","◆",IF('Project Schedule'!$D13="Phase Header","","■")),""))</x:f>
      </x:c>
      <x:c r="AL15" s="28" t="str">
        <x:f>IF(OR('Project Schedule'!$G13="",'Project Schedule'!$H13=""),"",IF(AND(AL$4&gt;='Project Schedule'!$G13,AL$4&lt;='Project Schedule'!$H13),IF('Project Schedule'!$D13="Milestone","◆",IF('Project Schedule'!$D13="Phase Header","","■")),""))</x:f>
      </x:c>
      <x:c r="AM15" s="28" t="str">
        <x:f>IF(OR('Project Schedule'!$G13="",'Project Schedule'!$H13=""),"",IF(AND(AM$4&gt;='Project Schedule'!$G13,AM$4&lt;='Project Schedule'!$H13),IF('Project Schedule'!$D13="Milestone","◆",IF('Project Schedule'!$D13="Phase Header","","■")),""))</x:f>
      </x:c>
      <x:c r="AN15" s="28" t="str">
        <x:f>IF(OR('Project Schedule'!$G13="",'Project Schedule'!$H13=""),"",IF(AND(AN$4&gt;='Project Schedule'!$G13,AN$4&lt;='Project Schedule'!$H13),IF('Project Schedule'!$D13="Milestone","◆",IF('Project Schedule'!$D13="Phase Header","","■")),""))</x:f>
      </x:c>
      <x:c r="AO15" s="28" t="str">
        <x:f>IF(OR('Project Schedule'!$G13="",'Project Schedule'!$H13=""),"",IF(AND(AO$4&gt;='Project Schedule'!$G13,AO$4&lt;='Project Schedule'!$H13),IF('Project Schedule'!$D13="Milestone","◆",IF('Project Schedule'!$D13="Phase Header","","■")),""))</x:f>
      </x:c>
      <x:c r="AP15" s="28" t="str">
        <x:f>IF(OR('Project Schedule'!$G13="",'Project Schedule'!$H13=""),"",IF(AND(AP$4&gt;='Project Schedule'!$G13,AP$4&lt;='Project Schedule'!$H13),IF('Project Schedule'!$D13="Milestone","◆",IF('Project Schedule'!$D13="Phase Header","","■")),""))</x:f>
      </x:c>
      <x:c r="AQ15" s="28" t="str">
        <x:f>IF(OR('Project Schedule'!$G13="",'Project Schedule'!$H13=""),"",IF(AND(AQ$4&gt;='Project Schedule'!$G13,AQ$4&lt;='Project Schedule'!$H13),IF('Project Schedule'!$D13="Milestone","◆",IF('Project Schedule'!$D13="Phase Header","","■")),""))</x:f>
      </x:c>
      <x:c r="AR15" s="28" t="str">
        <x:f>IF(OR('Project Schedule'!$G13="",'Project Schedule'!$H13=""),"",IF(AND(AR$4&gt;='Project Schedule'!$G13,AR$4&lt;='Project Schedule'!$H13),IF('Project Schedule'!$D13="Milestone","◆",IF('Project Schedule'!$D13="Phase Header","","■")),""))</x:f>
      </x:c>
    </x:row>
    <x:row r="16" ht="32" customHeight="1">
      <x:c r="A16" s="93" t="str">
        <x:f>'Project Schedule'!A14</x:f>
        <x:v>3.1.1</x:v>
      </x:c>
      <x:c r="B16" s="93" t="str">
        <x:f>'Project Schedule'!B14</x:f>
        <x:v>Prepare role-based training materials</x:v>
      </x:c>
      <x:c r="C16" s="93" t="str">
        <x:f>'Project Schedule'!D14</x:f>
        <x:v>Task</x:v>
      </x:c>
      <x:c r="D16" s="93" t="n">
        <x:f>'Project Schedule'!J14</x:f>
        <x:v>0</x:v>
      </x:c>
      <x:c r="E16" s="28" t="str">
        <x:f>IF(OR('Project Schedule'!$G14="",'Project Schedule'!$H14=""),"",IF(AND(E$4&gt;='Project Schedule'!$G14,E$4&lt;='Project Schedule'!$H14),IF('Project Schedule'!$D14="Milestone","◆",IF('Project Schedule'!$D14="Phase Header","","■")),""))</x:f>
      </x:c>
      <x:c r="F16" s="28" t="str">
        <x:f>IF(OR('Project Schedule'!$G14="",'Project Schedule'!$H14=""),"",IF(AND(F$4&gt;='Project Schedule'!$G14,F$4&lt;='Project Schedule'!$H14),IF('Project Schedule'!$D14="Milestone","◆",IF('Project Schedule'!$D14="Phase Header","","■")),""))</x:f>
      </x:c>
      <x:c r="G16" s="28" t="str">
        <x:f>IF(OR('Project Schedule'!$G14="",'Project Schedule'!$H14=""),"",IF(AND(G$4&gt;='Project Schedule'!$G14,G$4&lt;='Project Schedule'!$H14),IF('Project Schedule'!$D14="Milestone","◆",IF('Project Schedule'!$D14="Phase Header","","■")),""))</x:f>
      </x:c>
      <x:c r="H16" s="28" t="str">
        <x:f>IF(OR('Project Schedule'!$G14="",'Project Schedule'!$H14=""),"",IF(AND(H$4&gt;='Project Schedule'!$G14,H$4&lt;='Project Schedule'!$H14),IF('Project Schedule'!$D14="Milestone","◆",IF('Project Schedule'!$D14="Phase Header","","■")),""))</x:f>
        <x:v>■</x:v>
      </x:c>
      <x:c r="I16" s="28" t="str">
        <x:f>IF(OR('Project Schedule'!$G14="",'Project Schedule'!$H14=""),"",IF(AND(I$4&gt;='Project Schedule'!$G14,I$4&lt;='Project Schedule'!$H14),IF('Project Schedule'!$D14="Milestone","◆",IF('Project Schedule'!$D14="Phase Header","","■")),""))</x:f>
        <x:v>■</x:v>
      </x:c>
      <x:c r="J16" s="28" t="str">
        <x:f>IF(OR('Project Schedule'!$G14="",'Project Schedule'!$H14=""),"",IF(AND(J$4&gt;='Project Schedule'!$G14,J$4&lt;='Project Schedule'!$H14),IF('Project Schedule'!$D14="Milestone","◆",IF('Project Schedule'!$D14="Phase Header","","■")),""))</x:f>
      </x:c>
      <x:c r="K16" s="28" t="str">
        <x:f>IF(OR('Project Schedule'!$G14="",'Project Schedule'!$H14=""),"",IF(AND(K$4&gt;='Project Schedule'!$G14,K$4&lt;='Project Schedule'!$H14),IF('Project Schedule'!$D14="Milestone","◆",IF('Project Schedule'!$D14="Phase Header","","■")),""))</x:f>
      </x:c>
      <x:c r="L16" s="28" t="str">
        <x:f>IF(OR('Project Schedule'!$G14="",'Project Schedule'!$H14=""),"",IF(AND(L$4&gt;='Project Schedule'!$G14,L$4&lt;='Project Schedule'!$H14),IF('Project Schedule'!$D14="Milestone","◆",IF('Project Schedule'!$D14="Phase Header","","■")),""))</x:f>
      </x:c>
      <x:c r="M16" s="28" t="str">
        <x:f>IF(OR('Project Schedule'!$G14="",'Project Schedule'!$H14=""),"",IF(AND(M$4&gt;='Project Schedule'!$G14,M$4&lt;='Project Schedule'!$H14),IF('Project Schedule'!$D14="Milestone","◆",IF('Project Schedule'!$D14="Phase Header","","■")),""))</x:f>
      </x:c>
      <x:c r="N16" s="28" t="str">
        <x:f>IF(OR('Project Schedule'!$G14="",'Project Schedule'!$H14=""),"",IF(AND(N$4&gt;='Project Schedule'!$G14,N$4&lt;='Project Schedule'!$H14),IF('Project Schedule'!$D14="Milestone","◆",IF('Project Schedule'!$D14="Phase Header","","■")),""))</x:f>
      </x:c>
      <x:c r="O16" s="28" t="str">
        <x:f>IF(OR('Project Schedule'!$G14="",'Project Schedule'!$H14=""),"",IF(AND(O$4&gt;='Project Schedule'!$G14,O$4&lt;='Project Schedule'!$H14),IF('Project Schedule'!$D14="Milestone","◆",IF('Project Schedule'!$D14="Phase Header","","■")),""))</x:f>
      </x:c>
      <x:c r="P16" s="28" t="str">
        <x:f>IF(OR('Project Schedule'!$G14="",'Project Schedule'!$H14=""),"",IF(AND(P$4&gt;='Project Schedule'!$G14,P$4&lt;='Project Schedule'!$H14),IF('Project Schedule'!$D14="Milestone","◆",IF('Project Schedule'!$D14="Phase Header","","■")),""))</x:f>
      </x:c>
      <x:c r="Q16" s="28" t="str">
        <x:f>IF(OR('Project Schedule'!$G14="",'Project Schedule'!$H14=""),"",IF(AND(Q$4&gt;='Project Schedule'!$G14,Q$4&lt;='Project Schedule'!$H14),IF('Project Schedule'!$D14="Milestone","◆",IF('Project Schedule'!$D14="Phase Header","","■")),""))</x:f>
      </x:c>
      <x:c r="R16" s="28" t="str">
        <x:f>IF(OR('Project Schedule'!$G14="",'Project Schedule'!$H14=""),"",IF(AND(R$4&gt;='Project Schedule'!$G14,R$4&lt;='Project Schedule'!$H14),IF('Project Schedule'!$D14="Milestone","◆",IF('Project Schedule'!$D14="Phase Header","","■")),""))</x:f>
      </x:c>
      <x:c r="S16" s="28" t="str">
        <x:f>IF(OR('Project Schedule'!$G14="",'Project Schedule'!$H14=""),"",IF(AND(S$4&gt;='Project Schedule'!$G14,S$4&lt;='Project Schedule'!$H14),IF('Project Schedule'!$D14="Milestone","◆",IF('Project Schedule'!$D14="Phase Header","","■")),""))</x:f>
      </x:c>
      <x:c r="T16" s="28" t="str">
        <x:f>IF(OR('Project Schedule'!$G14="",'Project Schedule'!$H14=""),"",IF(AND(T$4&gt;='Project Schedule'!$G14,T$4&lt;='Project Schedule'!$H14),IF('Project Schedule'!$D14="Milestone","◆",IF('Project Schedule'!$D14="Phase Header","","■")),""))</x:f>
      </x:c>
      <x:c r="U16" s="28" t="str">
        <x:f>IF(OR('Project Schedule'!$G14="",'Project Schedule'!$H14=""),"",IF(AND(U$4&gt;='Project Schedule'!$G14,U$4&lt;='Project Schedule'!$H14),IF('Project Schedule'!$D14="Milestone","◆",IF('Project Schedule'!$D14="Phase Header","","■")),""))</x:f>
      </x:c>
      <x:c r="V16" s="28" t="str">
        <x:f>IF(OR('Project Schedule'!$G14="",'Project Schedule'!$H14=""),"",IF(AND(V$4&gt;='Project Schedule'!$G14,V$4&lt;='Project Schedule'!$H14),IF('Project Schedule'!$D14="Milestone","◆",IF('Project Schedule'!$D14="Phase Header","","■")),""))</x:f>
      </x:c>
      <x:c r="W16" s="28" t="str">
        <x:f>IF(OR('Project Schedule'!$G14="",'Project Schedule'!$H14=""),"",IF(AND(W$4&gt;='Project Schedule'!$G14,W$4&lt;='Project Schedule'!$H14),IF('Project Schedule'!$D14="Milestone","◆",IF('Project Schedule'!$D14="Phase Header","","■")),""))</x:f>
      </x:c>
      <x:c r="X16" s="28" t="str">
        <x:f>IF(OR('Project Schedule'!$G14="",'Project Schedule'!$H14=""),"",IF(AND(X$4&gt;='Project Schedule'!$G14,X$4&lt;='Project Schedule'!$H14),IF('Project Schedule'!$D14="Milestone","◆",IF('Project Schedule'!$D14="Phase Header","","■")),""))</x:f>
      </x:c>
      <x:c r="Y16" s="28" t="str">
        <x:f>IF(OR('Project Schedule'!$G14="",'Project Schedule'!$H14=""),"",IF(AND(Y$4&gt;='Project Schedule'!$G14,Y$4&lt;='Project Schedule'!$H14),IF('Project Schedule'!$D14="Milestone","◆",IF('Project Schedule'!$D14="Phase Header","","■")),""))</x:f>
      </x:c>
      <x:c r="Z16" s="28" t="str">
        <x:f>IF(OR('Project Schedule'!$G14="",'Project Schedule'!$H14=""),"",IF(AND(Z$4&gt;='Project Schedule'!$G14,Z$4&lt;='Project Schedule'!$H14),IF('Project Schedule'!$D14="Milestone","◆",IF('Project Schedule'!$D14="Phase Header","","■")),""))</x:f>
      </x:c>
      <x:c r="AA16" s="28" t="str">
        <x:f>IF(OR('Project Schedule'!$G14="",'Project Schedule'!$H14=""),"",IF(AND(AA$4&gt;='Project Schedule'!$G14,AA$4&lt;='Project Schedule'!$H14),IF('Project Schedule'!$D14="Milestone","◆",IF('Project Schedule'!$D14="Phase Header","","■")),""))</x:f>
      </x:c>
      <x:c r="AB16" s="28" t="str">
        <x:f>IF(OR('Project Schedule'!$G14="",'Project Schedule'!$H14=""),"",IF(AND(AB$4&gt;='Project Schedule'!$G14,AB$4&lt;='Project Schedule'!$H14),IF('Project Schedule'!$D14="Milestone","◆",IF('Project Schedule'!$D14="Phase Header","","■")),""))</x:f>
      </x:c>
      <x:c r="AC16" s="28" t="str">
        <x:f>IF(OR('Project Schedule'!$G14="",'Project Schedule'!$H14=""),"",IF(AND(AC$4&gt;='Project Schedule'!$G14,AC$4&lt;='Project Schedule'!$H14),IF('Project Schedule'!$D14="Milestone","◆",IF('Project Schedule'!$D14="Phase Header","","■")),""))</x:f>
      </x:c>
      <x:c r="AD16" s="28" t="str">
        <x:f>IF(OR('Project Schedule'!$G14="",'Project Schedule'!$H14=""),"",IF(AND(AD$4&gt;='Project Schedule'!$G14,AD$4&lt;='Project Schedule'!$H14),IF('Project Schedule'!$D14="Milestone","◆",IF('Project Schedule'!$D14="Phase Header","","■")),""))</x:f>
      </x:c>
      <x:c r="AE16" s="28" t="str">
        <x:f>IF(OR('Project Schedule'!$G14="",'Project Schedule'!$H14=""),"",IF(AND(AE$4&gt;='Project Schedule'!$G14,AE$4&lt;='Project Schedule'!$H14),IF('Project Schedule'!$D14="Milestone","◆",IF('Project Schedule'!$D14="Phase Header","","■")),""))</x:f>
      </x:c>
      <x:c r="AF16" s="28" t="str">
        <x:f>IF(OR('Project Schedule'!$G14="",'Project Schedule'!$H14=""),"",IF(AND(AF$4&gt;='Project Schedule'!$G14,AF$4&lt;='Project Schedule'!$H14),IF('Project Schedule'!$D14="Milestone","◆",IF('Project Schedule'!$D14="Phase Header","","■")),""))</x:f>
      </x:c>
      <x:c r="AG16" s="28" t="str">
        <x:f>IF(OR('Project Schedule'!$G14="",'Project Schedule'!$H14=""),"",IF(AND(AG$4&gt;='Project Schedule'!$G14,AG$4&lt;='Project Schedule'!$H14),IF('Project Schedule'!$D14="Milestone","◆",IF('Project Schedule'!$D14="Phase Header","","■")),""))</x:f>
      </x:c>
      <x:c r="AH16" s="28" t="str">
        <x:f>IF(OR('Project Schedule'!$G14="",'Project Schedule'!$H14=""),"",IF(AND(AH$4&gt;='Project Schedule'!$G14,AH$4&lt;='Project Schedule'!$H14),IF('Project Schedule'!$D14="Milestone","◆",IF('Project Schedule'!$D14="Phase Header","","■")),""))</x:f>
      </x:c>
      <x:c r="AI16" s="28" t="str">
        <x:f>IF(OR('Project Schedule'!$G14="",'Project Schedule'!$H14=""),"",IF(AND(AI$4&gt;='Project Schedule'!$G14,AI$4&lt;='Project Schedule'!$H14),IF('Project Schedule'!$D14="Milestone","◆",IF('Project Schedule'!$D14="Phase Header","","■")),""))</x:f>
      </x:c>
      <x:c r="AJ16" s="28" t="str">
        <x:f>IF(OR('Project Schedule'!$G14="",'Project Schedule'!$H14=""),"",IF(AND(AJ$4&gt;='Project Schedule'!$G14,AJ$4&lt;='Project Schedule'!$H14),IF('Project Schedule'!$D14="Milestone","◆",IF('Project Schedule'!$D14="Phase Header","","■")),""))</x:f>
      </x:c>
      <x:c r="AK16" s="28" t="str">
        <x:f>IF(OR('Project Schedule'!$G14="",'Project Schedule'!$H14=""),"",IF(AND(AK$4&gt;='Project Schedule'!$G14,AK$4&lt;='Project Schedule'!$H14),IF('Project Schedule'!$D14="Milestone","◆",IF('Project Schedule'!$D14="Phase Header","","■")),""))</x:f>
      </x:c>
      <x:c r="AL16" s="28" t="str">
        <x:f>IF(OR('Project Schedule'!$G14="",'Project Schedule'!$H14=""),"",IF(AND(AL$4&gt;='Project Schedule'!$G14,AL$4&lt;='Project Schedule'!$H14),IF('Project Schedule'!$D14="Milestone","◆",IF('Project Schedule'!$D14="Phase Header","","■")),""))</x:f>
      </x:c>
      <x:c r="AM16" s="28" t="str">
        <x:f>IF(OR('Project Schedule'!$G14="",'Project Schedule'!$H14=""),"",IF(AND(AM$4&gt;='Project Schedule'!$G14,AM$4&lt;='Project Schedule'!$H14),IF('Project Schedule'!$D14="Milestone","◆",IF('Project Schedule'!$D14="Phase Header","","■")),""))</x:f>
      </x:c>
      <x:c r="AN16" s="28" t="str">
        <x:f>IF(OR('Project Schedule'!$G14="",'Project Schedule'!$H14=""),"",IF(AND(AN$4&gt;='Project Schedule'!$G14,AN$4&lt;='Project Schedule'!$H14),IF('Project Schedule'!$D14="Milestone","◆",IF('Project Schedule'!$D14="Phase Header","","■")),""))</x:f>
      </x:c>
      <x:c r="AO16" s="28" t="str">
        <x:f>IF(OR('Project Schedule'!$G14="",'Project Schedule'!$H14=""),"",IF(AND(AO$4&gt;='Project Schedule'!$G14,AO$4&lt;='Project Schedule'!$H14),IF('Project Schedule'!$D14="Milestone","◆",IF('Project Schedule'!$D14="Phase Header","","■")),""))</x:f>
      </x:c>
      <x:c r="AP16" s="28" t="str">
        <x:f>IF(OR('Project Schedule'!$G14="",'Project Schedule'!$H14=""),"",IF(AND(AP$4&gt;='Project Schedule'!$G14,AP$4&lt;='Project Schedule'!$H14),IF('Project Schedule'!$D14="Milestone","◆",IF('Project Schedule'!$D14="Phase Header","","■")),""))</x:f>
      </x:c>
      <x:c r="AQ16" s="28" t="str">
        <x:f>IF(OR('Project Schedule'!$G14="",'Project Schedule'!$H14=""),"",IF(AND(AQ$4&gt;='Project Schedule'!$G14,AQ$4&lt;='Project Schedule'!$H14),IF('Project Schedule'!$D14="Milestone","◆",IF('Project Schedule'!$D14="Phase Header","","■")),""))</x:f>
      </x:c>
      <x:c r="AR16" s="28" t="str">
        <x:f>IF(OR('Project Schedule'!$G14="",'Project Schedule'!$H14=""),"",IF(AND(AR$4&gt;='Project Schedule'!$G14,AR$4&lt;='Project Schedule'!$H14),IF('Project Schedule'!$D14="Milestone","◆",IF('Project Schedule'!$D14="Phase Header","","■")),""))</x:f>
      </x:c>
    </x:row>
    <x:row r="17" ht="32" customHeight="1">
      <x:c r="A17" s="93" t="str">
        <x:f>'Project Schedule'!A15</x:f>
        <x:v>3.1.2</x:v>
      </x:c>
      <x:c r="B17" s="93" t="str">
        <x:f>'Project Schedule'!B15</x:f>
        <x:v>Train designated pilot-clinic staff</x:v>
      </x:c>
      <x:c r="C17" s="93" t="str">
        <x:f>'Project Schedule'!D15</x:f>
        <x:v>Task</x:v>
      </x:c>
      <x:c r="D17" s="93" t="str">
        <x:f>'Project Schedule'!J15</x:f>
        <x:v>YES</x:v>
      </x:c>
      <x:c r="E17" s="28" t="str">
        <x:f>IF(OR('Project Schedule'!$G15="",'Project Schedule'!$H15=""),"",IF(AND(E$4&gt;='Project Schedule'!$G15,E$4&lt;='Project Schedule'!$H15),IF('Project Schedule'!$D15="Milestone","◆",IF('Project Schedule'!$D15="Phase Header","","■")),""))</x:f>
      </x:c>
      <x:c r="F17" s="28" t="str">
        <x:f>IF(OR('Project Schedule'!$G15="",'Project Schedule'!$H15=""),"",IF(AND(F$4&gt;='Project Schedule'!$G15,F$4&lt;='Project Schedule'!$H15),IF('Project Schedule'!$D15="Milestone","◆",IF('Project Schedule'!$D15="Phase Header","","■")),""))</x:f>
      </x:c>
      <x:c r="G17" s="28" t="str">
        <x:f>IF(OR('Project Schedule'!$G15="",'Project Schedule'!$H15=""),"",IF(AND(G$4&gt;='Project Schedule'!$G15,G$4&lt;='Project Schedule'!$H15),IF('Project Schedule'!$D15="Milestone","◆",IF('Project Schedule'!$D15="Phase Header","","■")),""))</x:f>
      </x:c>
      <x:c r="H17" s="28" t="str">
        <x:f>IF(OR('Project Schedule'!$G15="",'Project Schedule'!$H15=""),"",IF(AND(H$4&gt;='Project Schedule'!$G15,H$4&lt;='Project Schedule'!$H15),IF('Project Schedule'!$D15="Milestone","◆",IF('Project Schedule'!$D15="Phase Header","","■")),""))</x:f>
      </x:c>
      <x:c r="I17" s="28" t="str">
        <x:f>IF(OR('Project Schedule'!$G15="",'Project Schedule'!$H15=""),"",IF(AND(I$4&gt;='Project Schedule'!$G15,I$4&lt;='Project Schedule'!$H15),IF('Project Schedule'!$D15="Milestone","◆",IF('Project Schedule'!$D15="Phase Header","","■")),""))</x:f>
      </x:c>
      <x:c r="J17" s="28" t="str">
        <x:f>IF(OR('Project Schedule'!$G15="",'Project Schedule'!$H15=""),"",IF(AND(J$4&gt;='Project Schedule'!$G15,J$4&lt;='Project Schedule'!$H15),IF('Project Schedule'!$D15="Milestone","◆",IF('Project Schedule'!$D15="Phase Header","","■")),""))</x:f>
      </x:c>
      <x:c r="K17" s="28" t="str">
        <x:f>IF(OR('Project Schedule'!$G15="",'Project Schedule'!$H15=""),"",IF(AND(K$4&gt;='Project Schedule'!$G15,K$4&lt;='Project Schedule'!$H15),IF('Project Schedule'!$D15="Milestone","◆",IF('Project Schedule'!$D15="Phase Header","","■")),""))</x:f>
        <x:v>■</x:v>
      </x:c>
      <x:c r="L17" s="28" t="str">
        <x:f>IF(OR('Project Schedule'!$G15="",'Project Schedule'!$H15=""),"",IF(AND(L$4&gt;='Project Schedule'!$G15,L$4&lt;='Project Schedule'!$H15),IF('Project Schedule'!$D15="Milestone","◆",IF('Project Schedule'!$D15="Phase Header","","■")),""))</x:f>
      </x:c>
      <x:c r="M17" s="28" t="str">
        <x:f>IF(OR('Project Schedule'!$G15="",'Project Schedule'!$H15=""),"",IF(AND(M$4&gt;='Project Schedule'!$G15,M$4&lt;='Project Schedule'!$H15),IF('Project Schedule'!$D15="Milestone","◆",IF('Project Schedule'!$D15="Phase Header","","■")),""))</x:f>
      </x:c>
      <x:c r="N17" s="28" t="str">
        <x:f>IF(OR('Project Schedule'!$G15="",'Project Schedule'!$H15=""),"",IF(AND(N$4&gt;='Project Schedule'!$G15,N$4&lt;='Project Schedule'!$H15),IF('Project Schedule'!$D15="Milestone","◆",IF('Project Schedule'!$D15="Phase Header","","■")),""))</x:f>
      </x:c>
      <x:c r="O17" s="28" t="str">
        <x:f>IF(OR('Project Schedule'!$G15="",'Project Schedule'!$H15=""),"",IF(AND(O$4&gt;='Project Schedule'!$G15,O$4&lt;='Project Schedule'!$H15),IF('Project Schedule'!$D15="Milestone","◆",IF('Project Schedule'!$D15="Phase Header","","■")),""))</x:f>
      </x:c>
      <x:c r="P17" s="28" t="str">
        <x:f>IF(OR('Project Schedule'!$G15="",'Project Schedule'!$H15=""),"",IF(AND(P$4&gt;='Project Schedule'!$G15,P$4&lt;='Project Schedule'!$H15),IF('Project Schedule'!$D15="Milestone","◆",IF('Project Schedule'!$D15="Phase Header","","■")),""))</x:f>
      </x:c>
      <x:c r="Q17" s="28" t="str">
        <x:f>IF(OR('Project Schedule'!$G15="",'Project Schedule'!$H15=""),"",IF(AND(Q$4&gt;='Project Schedule'!$G15,Q$4&lt;='Project Schedule'!$H15),IF('Project Schedule'!$D15="Milestone","◆",IF('Project Schedule'!$D15="Phase Header","","■")),""))</x:f>
      </x:c>
      <x:c r="R17" s="28" t="str">
        <x:f>IF(OR('Project Schedule'!$G15="",'Project Schedule'!$H15=""),"",IF(AND(R$4&gt;='Project Schedule'!$G15,R$4&lt;='Project Schedule'!$H15),IF('Project Schedule'!$D15="Milestone","◆",IF('Project Schedule'!$D15="Phase Header","","■")),""))</x:f>
      </x:c>
      <x:c r="S17" s="28" t="str">
        <x:f>IF(OR('Project Schedule'!$G15="",'Project Schedule'!$H15=""),"",IF(AND(S$4&gt;='Project Schedule'!$G15,S$4&lt;='Project Schedule'!$H15),IF('Project Schedule'!$D15="Milestone","◆",IF('Project Schedule'!$D15="Phase Header","","■")),""))</x:f>
      </x:c>
      <x:c r="T17" s="28" t="str">
        <x:f>IF(OR('Project Schedule'!$G15="",'Project Schedule'!$H15=""),"",IF(AND(T$4&gt;='Project Schedule'!$G15,T$4&lt;='Project Schedule'!$H15),IF('Project Schedule'!$D15="Milestone","◆",IF('Project Schedule'!$D15="Phase Header","","■")),""))</x:f>
      </x:c>
      <x:c r="U17" s="28" t="str">
        <x:f>IF(OR('Project Schedule'!$G15="",'Project Schedule'!$H15=""),"",IF(AND(U$4&gt;='Project Schedule'!$G15,U$4&lt;='Project Schedule'!$H15),IF('Project Schedule'!$D15="Milestone","◆",IF('Project Schedule'!$D15="Phase Header","","■")),""))</x:f>
      </x:c>
      <x:c r="V17" s="28" t="str">
        <x:f>IF(OR('Project Schedule'!$G15="",'Project Schedule'!$H15=""),"",IF(AND(V$4&gt;='Project Schedule'!$G15,V$4&lt;='Project Schedule'!$H15),IF('Project Schedule'!$D15="Milestone","◆",IF('Project Schedule'!$D15="Phase Header","","■")),""))</x:f>
      </x:c>
      <x:c r="W17" s="28" t="str">
        <x:f>IF(OR('Project Schedule'!$G15="",'Project Schedule'!$H15=""),"",IF(AND(W$4&gt;='Project Schedule'!$G15,W$4&lt;='Project Schedule'!$H15),IF('Project Schedule'!$D15="Milestone","◆",IF('Project Schedule'!$D15="Phase Header","","■")),""))</x:f>
      </x:c>
      <x:c r="X17" s="28" t="str">
        <x:f>IF(OR('Project Schedule'!$G15="",'Project Schedule'!$H15=""),"",IF(AND(X$4&gt;='Project Schedule'!$G15,X$4&lt;='Project Schedule'!$H15),IF('Project Schedule'!$D15="Milestone","◆",IF('Project Schedule'!$D15="Phase Header","","■")),""))</x:f>
      </x:c>
      <x:c r="Y17" s="28" t="str">
        <x:f>IF(OR('Project Schedule'!$G15="",'Project Schedule'!$H15=""),"",IF(AND(Y$4&gt;='Project Schedule'!$G15,Y$4&lt;='Project Schedule'!$H15),IF('Project Schedule'!$D15="Milestone","◆",IF('Project Schedule'!$D15="Phase Header","","■")),""))</x:f>
      </x:c>
      <x:c r="Z17" s="28" t="str">
        <x:f>IF(OR('Project Schedule'!$G15="",'Project Schedule'!$H15=""),"",IF(AND(Z$4&gt;='Project Schedule'!$G15,Z$4&lt;='Project Schedule'!$H15),IF('Project Schedule'!$D15="Milestone","◆",IF('Project Schedule'!$D15="Phase Header","","■")),""))</x:f>
      </x:c>
      <x:c r="AA17" s="28" t="str">
        <x:f>IF(OR('Project Schedule'!$G15="",'Project Schedule'!$H15=""),"",IF(AND(AA$4&gt;='Project Schedule'!$G15,AA$4&lt;='Project Schedule'!$H15),IF('Project Schedule'!$D15="Milestone","◆",IF('Project Schedule'!$D15="Phase Header","","■")),""))</x:f>
      </x:c>
      <x:c r="AB17" s="28" t="str">
        <x:f>IF(OR('Project Schedule'!$G15="",'Project Schedule'!$H15=""),"",IF(AND(AB$4&gt;='Project Schedule'!$G15,AB$4&lt;='Project Schedule'!$H15),IF('Project Schedule'!$D15="Milestone","◆",IF('Project Schedule'!$D15="Phase Header","","■")),""))</x:f>
      </x:c>
      <x:c r="AC17" s="28" t="str">
        <x:f>IF(OR('Project Schedule'!$G15="",'Project Schedule'!$H15=""),"",IF(AND(AC$4&gt;='Project Schedule'!$G15,AC$4&lt;='Project Schedule'!$H15),IF('Project Schedule'!$D15="Milestone","◆",IF('Project Schedule'!$D15="Phase Header","","■")),""))</x:f>
      </x:c>
      <x:c r="AD17" s="28" t="str">
        <x:f>IF(OR('Project Schedule'!$G15="",'Project Schedule'!$H15=""),"",IF(AND(AD$4&gt;='Project Schedule'!$G15,AD$4&lt;='Project Schedule'!$H15),IF('Project Schedule'!$D15="Milestone","◆",IF('Project Schedule'!$D15="Phase Header","","■")),""))</x:f>
      </x:c>
      <x:c r="AE17" s="28" t="str">
        <x:f>IF(OR('Project Schedule'!$G15="",'Project Schedule'!$H15=""),"",IF(AND(AE$4&gt;='Project Schedule'!$G15,AE$4&lt;='Project Schedule'!$H15),IF('Project Schedule'!$D15="Milestone","◆",IF('Project Schedule'!$D15="Phase Header","","■")),""))</x:f>
      </x:c>
      <x:c r="AF17" s="28" t="str">
        <x:f>IF(OR('Project Schedule'!$G15="",'Project Schedule'!$H15=""),"",IF(AND(AF$4&gt;='Project Schedule'!$G15,AF$4&lt;='Project Schedule'!$H15),IF('Project Schedule'!$D15="Milestone","◆",IF('Project Schedule'!$D15="Phase Header","","■")),""))</x:f>
      </x:c>
      <x:c r="AG17" s="28" t="str">
        <x:f>IF(OR('Project Schedule'!$G15="",'Project Schedule'!$H15=""),"",IF(AND(AG$4&gt;='Project Schedule'!$G15,AG$4&lt;='Project Schedule'!$H15),IF('Project Schedule'!$D15="Milestone","◆",IF('Project Schedule'!$D15="Phase Header","","■")),""))</x:f>
      </x:c>
      <x:c r="AH17" s="28" t="str">
        <x:f>IF(OR('Project Schedule'!$G15="",'Project Schedule'!$H15=""),"",IF(AND(AH$4&gt;='Project Schedule'!$G15,AH$4&lt;='Project Schedule'!$H15),IF('Project Schedule'!$D15="Milestone","◆",IF('Project Schedule'!$D15="Phase Header","","■")),""))</x:f>
      </x:c>
      <x:c r="AI17" s="28" t="str">
        <x:f>IF(OR('Project Schedule'!$G15="",'Project Schedule'!$H15=""),"",IF(AND(AI$4&gt;='Project Schedule'!$G15,AI$4&lt;='Project Schedule'!$H15),IF('Project Schedule'!$D15="Milestone","◆",IF('Project Schedule'!$D15="Phase Header","","■")),""))</x:f>
      </x:c>
      <x:c r="AJ17" s="28" t="str">
        <x:f>IF(OR('Project Schedule'!$G15="",'Project Schedule'!$H15=""),"",IF(AND(AJ$4&gt;='Project Schedule'!$G15,AJ$4&lt;='Project Schedule'!$H15),IF('Project Schedule'!$D15="Milestone","◆",IF('Project Schedule'!$D15="Phase Header","","■")),""))</x:f>
      </x:c>
      <x:c r="AK17" s="28" t="str">
        <x:f>IF(OR('Project Schedule'!$G15="",'Project Schedule'!$H15=""),"",IF(AND(AK$4&gt;='Project Schedule'!$G15,AK$4&lt;='Project Schedule'!$H15),IF('Project Schedule'!$D15="Milestone","◆",IF('Project Schedule'!$D15="Phase Header","","■")),""))</x:f>
      </x:c>
      <x:c r="AL17" s="28" t="str">
        <x:f>IF(OR('Project Schedule'!$G15="",'Project Schedule'!$H15=""),"",IF(AND(AL$4&gt;='Project Schedule'!$G15,AL$4&lt;='Project Schedule'!$H15),IF('Project Schedule'!$D15="Milestone","◆",IF('Project Schedule'!$D15="Phase Header","","■")),""))</x:f>
      </x:c>
      <x:c r="AM17" s="28" t="str">
        <x:f>IF(OR('Project Schedule'!$G15="",'Project Schedule'!$H15=""),"",IF(AND(AM$4&gt;='Project Schedule'!$G15,AM$4&lt;='Project Schedule'!$H15),IF('Project Schedule'!$D15="Milestone","◆",IF('Project Schedule'!$D15="Phase Header","","■")),""))</x:f>
      </x:c>
      <x:c r="AN17" s="28" t="str">
        <x:f>IF(OR('Project Schedule'!$G15="",'Project Schedule'!$H15=""),"",IF(AND(AN$4&gt;='Project Schedule'!$G15,AN$4&lt;='Project Schedule'!$H15),IF('Project Schedule'!$D15="Milestone","◆",IF('Project Schedule'!$D15="Phase Header","","■")),""))</x:f>
      </x:c>
      <x:c r="AO17" s="28" t="str">
        <x:f>IF(OR('Project Schedule'!$G15="",'Project Schedule'!$H15=""),"",IF(AND(AO$4&gt;='Project Schedule'!$G15,AO$4&lt;='Project Schedule'!$H15),IF('Project Schedule'!$D15="Milestone","◆",IF('Project Schedule'!$D15="Phase Header","","■")),""))</x:f>
      </x:c>
      <x:c r="AP17" s="28" t="str">
        <x:f>IF(OR('Project Schedule'!$G15="",'Project Schedule'!$H15=""),"",IF(AND(AP$4&gt;='Project Schedule'!$G15,AP$4&lt;='Project Schedule'!$H15),IF('Project Schedule'!$D15="Milestone","◆",IF('Project Schedule'!$D15="Phase Header","","■")),""))</x:f>
      </x:c>
      <x:c r="AQ17" s="28" t="str">
        <x:f>IF(OR('Project Schedule'!$G15="",'Project Schedule'!$H15=""),"",IF(AND(AQ$4&gt;='Project Schedule'!$G15,AQ$4&lt;='Project Schedule'!$H15),IF('Project Schedule'!$D15="Milestone","◆",IF('Project Schedule'!$D15="Phase Header","","■")),""))</x:f>
      </x:c>
      <x:c r="AR17" s="28" t="str">
        <x:f>IF(OR('Project Schedule'!$G15="",'Project Schedule'!$H15=""),"",IF(AND(AR$4&gt;='Project Schedule'!$G15,AR$4&lt;='Project Schedule'!$H15),IF('Project Schedule'!$D15="Milestone","◆",IF('Project Schedule'!$D15="Phase Header","","■")),""))</x:f>
      </x:c>
    </x:row>
    <x:row r="18" ht="32" customHeight="1">
      <x:c r="A18" s="93" t="str">
        <x:f>'Project Schedule'!A16</x:f>
        <x:v>3.2.1</x:v>
      </x:c>
      <x:c r="B18" s="93" t="str">
        <x:f>'Project Schedule'!B16</x:f>
        <x:v>Pilot clinic launched</x:v>
      </x:c>
      <x:c r="C18" s="93" t="str">
        <x:f>'Project Schedule'!D16</x:f>
        <x:v>Milestone</x:v>
      </x:c>
      <x:c r="D18" s="93" t="n">
        <x:f>'Project Schedule'!J16</x:f>
        <x:v>0</x:v>
      </x:c>
      <x:c r="E18" s="28" t="str">
        <x:f>IF(OR('Project Schedule'!$G16="",'Project Schedule'!$H16=""),"",IF(AND(E$4&gt;='Project Schedule'!$G16,E$4&lt;='Project Schedule'!$H16),IF('Project Schedule'!$D16="Milestone","◆",IF('Project Schedule'!$D16="Phase Header","","■")),""))</x:f>
      </x:c>
      <x:c r="F18" s="28" t="str">
        <x:f>IF(OR('Project Schedule'!$G16="",'Project Schedule'!$H16=""),"",IF(AND(F$4&gt;='Project Schedule'!$G16,F$4&lt;='Project Schedule'!$H16),IF('Project Schedule'!$D16="Milestone","◆",IF('Project Schedule'!$D16="Phase Header","","■")),""))</x:f>
      </x:c>
      <x:c r="G18" s="28" t="str">
        <x:f>IF(OR('Project Schedule'!$G16="",'Project Schedule'!$H16=""),"",IF(AND(G$4&gt;='Project Schedule'!$G16,G$4&lt;='Project Schedule'!$H16),IF('Project Schedule'!$D16="Milestone","◆",IF('Project Schedule'!$D16="Phase Header","","■")),""))</x:f>
      </x:c>
      <x:c r="H18" s="28" t="str">
        <x:f>IF(OR('Project Schedule'!$G16="",'Project Schedule'!$H16=""),"",IF(AND(H$4&gt;='Project Schedule'!$G16,H$4&lt;='Project Schedule'!$H16),IF('Project Schedule'!$D16="Milestone","◆",IF('Project Schedule'!$D16="Phase Header","","■")),""))</x:f>
      </x:c>
      <x:c r="I18" s="28" t="str">
        <x:f>IF(OR('Project Schedule'!$G16="",'Project Schedule'!$H16=""),"",IF(AND(I$4&gt;='Project Schedule'!$G16,I$4&lt;='Project Schedule'!$H16),IF('Project Schedule'!$D16="Milestone","◆",IF('Project Schedule'!$D16="Phase Header","","■")),""))</x:f>
      </x:c>
      <x:c r="J18" s="28" t="str">
        <x:f>IF(OR('Project Schedule'!$G16="",'Project Schedule'!$H16=""),"",IF(AND(J$4&gt;='Project Schedule'!$G16,J$4&lt;='Project Schedule'!$H16),IF('Project Schedule'!$D16="Milestone","◆",IF('Project Schedule'!$D16="Phase Header","","■")),""))</x:f>
      </x:c>
      <x:c r="K18" s="28" t="str">
        <x:f>IF(OR('Project Schedule'!$G16="",'Project Schedule'!$H16=""),"",IF(AND(K$4&gt;='Project Schedule'!$G16,K$4&lt;='Project Schedule'!$H16),IF('Project Schedule'!$D16="Milestone","◆",IF('Project Schedule'!$D16="Phase Header","","■")),""))</x:f>
        <x:v>◆</x:v>
      </x:c>
      <x:c r="L18" s="28" t="str">
        <x:f>IF(OR('Project Schedule'!$G16="",'Project Schedule'!$H16=""),"",IF(AND(L$4&gt;='Project Schedule'!$G16,L$4&lt;='Project Schedule'!$H16),IF('Project Schedule'!$D16="Milestone","◆",IF('Project Schedule'!$D16="Phase Header","","■")),""))</x:f>
      </x:c>
      <x:c r="M18" s="28" t="str">
        <x:f>IF(OR('Project Schedule'!$G16="",'Project Schedule'!$H16=""),"",IF(AND(M$4&gt;='Project Schedule'!$G16,M$4&lt;='Project Schedule'!$H16),IF('Project Schedule'!$D16="Milestone","◆",IF('Project Schedule'!$D16="Phase Header","","■")),""))</x:f>
      </x:c>
      <x:c r="N18" s="28" t="str">
        <x:f>IF(OR('Project Schedule'!$G16="",'Project Schedule'!$H16=""),"",IF(AND(N$4&gt;='Project Schedule'!$G16,N$4&lt;='Project Schedule'!$H16),IF('Project Schedule'!$D16="Milestone","◆",IF('Project Schedule'!$D16="Phase Header","","■")),""))</x:f>
      </x:c>
      <x:c r="O18" s="28" t="str">
        <x:f>IF(OR('Project Schedule'!$G16="",'Project Schedule'!$H16=""),"",IF(AND(O$4&gt;='Project Schedule'!$G16,O$4&lt;='Project Schedule'!$H16),IF('Project Schedule'!$D16="Milestone","◆",IF('Project Schedule'!$D16="Phase Header","","■")),""))</x:f>
      </x:c>
      <x:c r="P18" s="28" t="str">
        <x:f>IF(OR('Project Schedule'!$G16="",'Project Schedule'!$H16=""),"",IF(AND(P$4&gt;='Project Schedule'!$G16,P$4&lt;='Project Schedule'!$H16),IF('Project Schedule'!$D16="Milestone","◆",IF('Project Schedule'!$D16="Phase Header","","■")),""))</x:f>
      </x:c>
      <x:c r="Q18" s="28" t="str">
        <x:f>IF(OR('Project Schedule'!$G16="",'Project Schedule'!$H16=""),"",IF(AND(Q$4&gt;='Project Schedule'!$G16,Q$4&lt;='Project Schedule'!$H16),IF('Project Schedule'!$D16="Milestone","◆",IF('Project Schedule'!$D16="Phase Header","","■")),""))</x:f>
      </x:c>
      <x:c r="R18" s="28" t="str">
        <x:f>IF(OR('Project Schedule'!$G16="",'Project Schedule'!$H16=""),"",IF(AND(R$4&gt;='Project Schedule'!$G16,R$4&lt;='Project Schedule'!$H16),IF('Project Schedule'!$D16="Milestone","◆",IF('Project Schedule'!$D16="Phase Header","","■")),""))</x:f>
      </x:c>
      <x:c r="S18" s="28" t="str">
        <x:f>IF(OR('Project Schedule'!$G16="",'Project Schedule'!$H16=""),"",IF(AND(S$4&gt;='Project Schedule'!$G16,S$4&lt;='Project Schedule'!$H16),IF('Project Schedule'!$D16="Milestone","◆",IF('Project Schedule'!$D16="Phase Header","","■")),""))</x:f>
      </x:c>
      <x:c r="T18" s="28" t="str">
        <x:f>IF(OR('Project Schedule'!$G16="",'Project Schedule'!$H16=""),"",IF(AND(T$4&gt;='Project Schedule'!$G16,T$4&lt;='Project Schedule'!$H16),IF('Project Schedule'!$D16="Milestone","◆",IF('Project Schedule'!$D16="Phase Header","","■")),""))</x:f>
      </x:c>
      <x:c r="U18" s="28" t="str">
        <x:f>IF(OR('Project Schedule'!$G16="",'Project Schedule'!$H16=""),"",IF(AND(U$4&gt;='Project Schedule'!$G16,U$4&lt;='Project Schedule'!$H16),IF('Project Schedule'!$D16="Milestone","◆",IF('Project Schedule'!$D16="Phase Header","","■")),""))</x:f>
      </x:c>
      <x:c r="V18" s="28" t="str">
        <x:f>IF(OR('Project Schedule'!$G16="",'Project Schedule'!$H16=""),"",IF(AND(V$4&gt;='Project Schedule'!$G16,V$4&lt;='Project Schedule'!$H16),IF('Project Schedule'!$D16="Milestone","◆",IF('Project Schedule'!$D16="Phase Header","","■")),""))</x:f>
      </x:c>
      <x:c r="W18" s="28" t="str">
        <x:f>IF(OR('Project Schedule'!$G16="",'Project Schedule'!$H16=""),"",IF(AND(W$4&gt;='Project Schedule'!$G16,W$4&lt;='Project Schedule'!$H16),IF('Project Schedule'!$D16="Milestone","◆",IF('Project Schedule'!$D16="Phase Header","","■")),""))</x:f>
      </x:c>
      <x:c r="X18" s="28" t="str">
        <x:f>IF(OR('Project Schedule'!$G16="",'Project Schedule'!$H16=""),"",IF(AND(X$4&gt;='Project Schedule'!$G16,X$4&lt;='Project Schedule'!$H16),IF('Project Schedule'!$D16="Milestone","◆",IF('Project Schedule'!$D16="Phase Header","","■")),""))</x:f>
      </x:c>
      <x:c r="Y18" s="28" t="str">
        <x:f>IF(OR('Project Schedule'!$G16="",'Project Schedule'!$H16=""),"",IF(AND(Y$4&gt;='Project Schedule'!$G16,Y$4&lt;='Project Schedule'!$H16),IF('Project Schedule'!$D16="Milestone","◆",IF('Project Schedule'!$D16="Phase Header","","■")),""))</x:f>
      </x:c>
      <x:c r="Z18" s="28" t="str">
        <x:f>IF(OR('Project Schedule'!$G16="",'Project Schedule'!$H16=""),"",IF(AND(Z$4&gt;='Project Schedule'!$G16,Z$4&lt;='Project Schedule'!$H16),IF('Project Schedule'!$D16="Milestone","◆",IF('Project Schedule'!$D16="Phase Header","","■")),""))</x:f>
      </x:c>
      <x:c r="AA18" s="28" t="str">
        <x:f>IF(OR('Project Schedule'!$G16="",'Project Schedule'!$H16=""),"",IF(AND(AA$4&gt;='Project Schedule'!$G16,AA$4&lt;='Project Schedule'!$H16),IF('Project Schedule'!$D16="Milestone","◆",IF('Project Schedule'!$D16="Phase Header","","■")),""))</x:f>
      </x:c>
      <x:c r="AB18" s="28" t="str">
        <x:f>IF(OR('Project Schedule'!$G16="",'Project Schedule'!$H16=""),"",IF(AND(AB$4&gt;='Project Schedule'!$G16,AB$4&lt;='Project Schedule'!$H16),IF('Project Schedule'!$D16="Milestone","◆",IF('Project Schedule'!$D16="Phase Header","","■")),""))</x:f>
      </x:c>
      <x:c r="AC18" s="28" t="str">
        <x:f>IF(OR('Project Schedule'!$G16="",'Project Schedule'!$H16=""),"",IF(AND(AC$4&gt;='Project Schedule'!$G16,AC$4&lt;='Project Schedule'!$H16),IF('Project Schedule'!$D16="Milestone","◆",IF('Project Schedule'!$D16="Phase Header","","■")),""))</x:f>
      </x:c>
      <x:c r="AD18" s="28" t="str">
        <x:f>IF(OR('Project Schedule'!$G16="",'Project Schedule'!$H16=""),"",IF(AND(AD$4&gt;='Project Schedule'!$G16,AD$4&lt;='Project Schedule'!$H16),IF('Project Schedule'!$D16="Milestone","◆",IF('Project Schedule'!$D16="Phase Header","","■")),""))</x:f>
      </x:c>
      <x:c r="AE18" s="28" t="str">
        <x:f>IF(OR('Project Schedule'!$G16="",'Project Schedule'!$H16=""),"",IF(AND(AE$4&gt;='Project Schedule'!$G16,AE$4&lt;='Project Schedule'!$H16),IF('Project Schedule'!$D16="Milestone","◆",IF('Project Schedule'!$D16="Phase Header","","■")),""))</x:f>
      </x:c>
      <x:c r="AF18" s="28" t="str">
        <x:f>IF(OR('Project Schedule'!$G16="",'Project Schedule'!$H16=""),"",IF(AND(AF$4&gt;='Project Schedule'!$G16,AF$4&lt;='Project Schedule'!$H16),IF('Project Schedule'!$D16="Milestone","◆",IF('Project Schedule'!$D16="Phase Header","","■")),""))</x:f>
      </x:c>
      <x:c r="AG18" s="28" t="str">
        <x:f>IF(OR('Project Schedule'!$G16="",'Project Schedule'!$H16=""),"",IF(AND(AG$4&gt;='Project Schedule'!$G16,AG$4&lt;='Project Schedule'!$H16),IF('Project Schedule'!$D16="Milestone","◆",IF('Project Schedule'!$D16="Phase Header","","■")),""))</x:f>
      </x:c>
      <x:c r="AH18" s="28" t="str">
        <x:f>IF(OR('Project Schedule'!$G16="",'Project Schedule'!$H16=""),"",IF(AND(AH$4&gt;='Project Schedule'!$G16,AH$4&lt;='Project Schedule'!$H16),IF('Project Schedule'!$D16="Milestone","◆",IF('Project Schedule'!$D16="Phase Header","","■")),""))</x:f>
      </x:c>
      <x:c r="AI18" s="28" t="str">
        <x:f>IF(OR('Project Schedule'!$G16="",'Project Schedule'!$H16=""),"",IF(AND(AI$4&gt;='Project Schedule'!$G16,AI$4&lt;='Project Schedule'!$H16),IF('Project Schedule'!$D16="Milestone","◆",IF('Project Schedule'!$D16="Phase Header","","■")),""))</x:f>
      </x:c>
      <x:c r="AJ18" s="28" t="str">
        <x:f>IF(OR('Project Schedule'!$G16="",'Project Schedule'!$H16=""),"",IF(AND(AJ$4&gt;='Project Schedule'!$G16,AJ$4&lt;='Project Schedule'!$H16),IF('Project Schedule'!$D16="Milestone","◆",IF('Project Schedule'!$D16="Phase Header","","■")),""))</x:f>
      </x:c>
      <x:c r="AK18" s="28" t="str">
        <x:f>IF(OR('Project Schedule'!$G16="",'Project Schedule'!$H16=""),"",IF(AND(AK$4&gt;='Project Schedule'!$G16,AK$4&lt;='Project Schedule'!$H16),IF('Project Schedule'!$D16="Milestone","◆",IF('Project Schedule'!$D16="Phase Header","","■")),""))</x:f>
      </x:c>
      <x:c r="AL18" s="28" t="str">
        <x:f>IF(OR('Project Schedule'!$G16="",'Project Schedule'!$H16=""),"",IF(AND(AL$4&gt;='Project Schedule'!$G16,AL$4&lt;='Project Schedule'!$H16),IF('Project Schedule'!$D16="Milestone","◆",IF('Project Schedule'!$D16="Phase Header","","■")),""))</x:f>
      </x:c>
      <x:c r="AM18" s="28" t="str">
        <x:f>IF(OR('Project Schedule'!$G16="",'Project Schedule'!$H16=""),"",IF(AND(AM$4&gt;='Project Schedule'!$G16,AM$4&lt;='Project Schedule'!$H16),IF('Project Schedule'!$D16="Milestone","◆",IF('Project Schedule'!$D16="Phase Header","","■")),""))</x:f>
      </x:c>
      <x:c r="AN18" s="28" t="str">
        <x:f>IF(OR('Project Schedule'!$G16="",'Project Schedule'!$H16=""),"",IF(AND(AN$4&gt;='Project Schedule'!$G16,AN$4&lt;='Project Schedule'!$H16),IF('Project Schedule'!$D16="Milestone","◆",IF('Project Schedule'!$D16="Phase Header","","■")),""))</x:f>
      </x:c>
      <x:c r="AO18" s="28" t="str">
        <x:f>IF(OR('Project Schedule'!$G16="",'Project Schedule'!$H16=""),"",IF(AND(AO$4&gt;='Project Schedule'!$G16,AO$4&lt;='Project Schedule'!$H16),IF('Project Schedule'!$D16="Milestone","◆",IF('Project Schedule'!$D16="Phase Header","","■")),""))</x:f>
      </x:c>
      <x:c r="AP18" s="28" t="str">
        <x:f>IF(OR('Project Schedule'!$G16="",'Project Schedule'!$H16=""),"",IF(AND(AP$4&gt;='Project Schedule'!$G16,AP$4&lt;='Project Schedule'!$H16),IF('Project Schedule'!$D16="Milestone","◆",IF('Project Schedule'!$D16="Phase Header","","■")),""))</x:f>
      </x:c>
      <x:c r="AQ18" s="28" t="str">
        <x:f>IF(OR('Project Schedule'!$G16="",'Project Schedule'!$H16=""),"",IF(AND(AQ$4&gt;='Project Schedule'!$G16,AQ$4&lt;='Project Schedule'!$H16),IF('Project Schedule'!$D16="Milestone","◆",IF('Project Schedule'!$D16="Phase Header","","■")),""))</x:f>
      </x:c>
      <x:c r="AR18" s="28" t="str">
        <x:f>IF(OR('Project Schedule'!$G16="",'Project Schedule'!$H16=""),"",IF(AND(AR$4&gt;='Project Schedule'!$G16,AR$4&lt;='Project Schedule'!$H16),IF('Project Schedule'!$D16="Milestone","◆",IF('Project Schedule'!$D16="Phase Header","","■")),""))</x:f>
      </x:c>
    </x:row>
    <x:row r="19" ht="32" customHeight="1">
      <x:c r="A19" s="93" t="str">
        <x:f>'Project Schedule'!A17</x:f>
        <x:v>3.2.2</x:v>
      </x:c>
      <x:c r="B19" s="93" t="str">
        <x:f>'Project Schedule'!B17</x:f>
        <x:v>Observe pilot and resolve rollout blockers</x:v>
      </x:c>
      <x:c r="C19" s="93" t="str">
        <x:f>'Project Schedule'!D17</x:f>
        <x:v>Task</x:v>
      </x:c>
      <x:c r="D19" s="93" t="str">
        <x:f>'Project Schedule'!J17</x:f>
        <x:v>YES</x:v>
      </x:c>
      <x:c r="E19" s="28" t="str">
        <x:f>IF(OR('Project Schedule'!$G17="",'Project Schedule'!$H17=""),"",IF(AND(E$4&gt;='Project Schedule'!$G17,E$4&lt;='Project Schedule'!$H17),IF('Project Schedule'!$D17="Milestone","◆",IF('Project Schedule'!$D17="Phase Header","","■")),""))</x:f>
      </x:c>
      <x:c r="F19" s="28" t="str">
        <x:f>IF(OR('Project Schedule'!$G17="",'Project Schedule'!$H17=""),"",IF(AND(F$4&gt;='Project Schedule'!$G17,F$4&lt;='Project Schedule'!$H17),IF('Project Schedule'!$D17="Milestone","◆",IF('Project Schedule'!$D17="Phase Header","","■")),""))</x:f>
      </x:c>
      <x:c r="G19" s="28" t="str">
        <x:f>IF(OR('Project Schedule'!$G17="",'Project Schedule'!$H17=""),"",IF(AND(G$4&gt;='Project Schedule'!$G17,G$4&lt;='Project Schedule'!$H17),IF('Project Schedule'!$D17="Milestone","◆",IF('Project Schedule'!$D17="Phase Header","","■")),""))</x:f>
      </x:c>
      <x:c r="H19" s="28" t="str">
        <x:f>IF(OR('Project Schedule'!$G17="",'Project Schedule'!$H17=""),"",IF(AND(H$4&gt;='Project Schedule'!$G17,H$4&lt;='Project Schedule'!$H17),IF('Project Schedule'!$D17="Milestone","◆",IF('Project Schedule'!$D17="Phase Header","","■")),""))</x:f>
      </x:c>
      <x:c r="I19" s="28" t="str">
        <x:f>IF(OR('Project Schedule'!$G17="",'Project Schedule'!$H17=""),"",IF(AND(I$4&gt;='Project Schedule'!$G17,I$4&lt;='Project Schedule'!$H17),IF('Project Schedule'!$D17="Milestone","◆",IF('Project Schedule'!$D17="Phase Header","","■")),""))</x:f>
      </x:c>
      <x:c r="J19" s="28" t="str">
        <x:f>IF(OR('Project Schedule'!$G17="",'Project Schedule'!$H17=""),"",IF(AND(J$4&gt;='Project Schedule'!$G17,J$4&lt;='Project Schedule'!$H17),IF('Project Schedule'!$D17="Milestone","◆",IF('Project Schedule'!$D17="Phase Header","","■")),""))</x:f>
      </x:c>
      <x:c r="K19" s="28" t="str">
        <x:f>IF(OR('Project Schedule'!$G17="",'Project Schedule'!$H17=""),"",IF(AND(K$4&gt;='Project Schedule'!$G17,K$4&lt;='Project Schedule'!$H17),IF('Project Schedule'!$D17="Milestone","◆",IF('Project Schedule'!$D17="Phase Header","","■")),""))</x:f>
      </x:c>
      <x:c r="L19" s="28" t="str">
        <x:f>IF(OR('Project Schedule'!$G17="",'Project Schedule'!$H17=""),"",IF(AND(L$4&gt;='Project Schedule'!$G17,L$4&lt;='Project Schedule'!$H17),IF('Project Schedule'!$D17="Milestone","◆",IF('Project Schedule'!$D17="Phase Header","","■")),""))</x:f>
        <x:v>■</x:v>
      </x:c>
      <x:c r="M19" s="28" t="str">
        <x:f>IF(OR('Project Schedule'!$G17="",'Project Schedule'!$H17=""),"",IF(AND(M$4&gt;='Project Schedule'!$G17,M$4&lt;='Project Schedule'!$H17),IF('Project Schedule'!$D17="Milestone","◆",IF('Project Schedule'!$D17="Phase Header","","■")),""))</x:f>
        <x:v>■</x:v>
      </x:c>
      <x:c r="N19" s="28" t="str">
        <x:f>IF(OR('Project Schedule'!$G17="",'Project Schedule'!$H17=""),"",IF(AND(N$4&gt;='Project Schedule'!$G17,N$4&lt;='Project Schedule'!$H17),IF('Project Schedule'!$D17="Milestone","◆",IF('Project Schedule'!$D17="Phase Header","","■")),""))</x:f>
        <x:v>■</x:v>
      </x:c>
      <x:c r="O19" s="28" t="str">
        <x:f>IF(OR('Project Schedule'!$G17="",'Project Schedule'!$H17=""),"",IF(AND(O$4&gt;='Project Schedule'!$G17,O$4&lt;='Project Schedule'!$H17),IF('Project Schedule'!$D17="Milestone","◆",IF('Project Schedule'!$D17="Phase Header","","■")),""))</x:f>
        <x:v>■</x:v>
      </x:c>
      <x:c r="P19" s="28" t="str">
        <x:f>IF(OR('Project Schedule'!$G17="",'Project Schedule'!$H17=""),"",IF(AND(P$4&gt;='Project Schedule'!$G17,P$4&lt;='Project Schedule'!$H17),IF('Project Schedule'!$D17="Milestone","◆",IF('Project Schedule'!$D17="Phase Header","","■")),""))</x:f>
        <x:v>■</x:v>
      </x:c>
      <x:c r="Q19" s="28" t="str">
        <x:f>IF(OR('Project Schedule'!$G17="",'Project Schedule'!$H17=""),"",IF(AND(Q$4&gt;='Project Schedule'!$G17,Q$4&lt;='Project Schedule'!$H17),IF('Project Schedule'!$D17="Milestone","◆",IF('Project Schedule'!$D17="Phase Header","","■")),""))</x:f>
      </x:c>
      <x:c r="R19" s="28" t="str">
        <x:f>IF(OR('Project Schedule'!$G17="",'Project Schedule'!$H17=""),"",IF(AND(R$4&gt;='Project Schedule'!$G17,R$4&lt;='Project Schedule'!$H17),IF('Project Schedule'!$D17="Milestone","◆",IF('Project Schedule'!$D17="Phase Header","","■")),""))</x:f>
      </x:c>
      <x:c r="S19" s="28" t="str">
        <x:f>IF(OR('Project Schedule'!$G17="",'Project Schedule'!$H17=""),"",IF(AND(S$4&gt;='Project Schedule'!$G17,S$4&lt;='Project Schedule'!$H17),IF('Project Schedule'!$D17="Milestone","◆",IF('Project Schedule'!$D17="Phase Header","","■")),""))</x:f>
      </x:c>
      <x:c r="T19" s="28" t="str">
        <x:f>IF(OR('Project Schedule'!$G17="",'Project Schedule'!$H17=""),"",IF(AND(T$4&gt;='Project Schedule'!$G17,T$4&lt;='Project Schedule'!$H17),IF('Project Schedule'!$D17="Milestone","◆",IF('Project Schedule'!$D17="Phase Header","","■")),""))</x:f>
      </x:c>
      <x:c r="U19" s="28" t="str">
        <x:f>IF(OR('Project Schedule'!$G17="",'Project Schedule'!$H17=""),"",IF(AND(U$4&gt;='Project Schedule'!$G17,U$4&lt;='Project Schedule'!$H17),IF('Project Schedule'!$D17="Milestone","◆",IF('Project Schedule'!$D17="Phase Header","","■")),""))</x:f>
      </x:c>
      <x:c r="V19" s="28" t="str">
        <x:f>IF(OR('Project Schedule'!$G17="",'Project Schedule'!$H17=""),"",IF(AND(V$4&gt;='Project Schedule'!$G17,V$4&lt;='Project Schedule'!$H17),IF('Project Schedule'!$D17="Milestone","◆",IF('Project Schedule'!$D17="Phase Header","","■")),""))</x:f>
      </x:c>
      <x:c r="W19" s="28" t="str">
        <x:f>IF(OR('Project Schedule'!$G17="",'Project Schedule'!$H17=""),"",IF(AND(W$4&gt;='Project Schedule'!$G17,W$4&lt;='Project Schedule'!$H17),IF('Project Schedule'!$D17="Milestone","◆",IF('Project Schedule'!$D17="Phase Header","","■")),""))</x:f>
      </x:c>
      <x:c r="X19" s="28" t="str">
        <x:f>IF(OR('Project Schedule'!$G17="",'Project Schedule'!$H17=""),"",IF(AND(X$4&gt;='Project Schedule'!$G17,X$4&lt;='Project Schedule'!$H17),IF('Project Schedule'!$D17="Milestone","◆",IF('Project Schedule'!$D17="Phase Header","","■")),""))</x:f>
      </x:c>
      <x:c r="Y19" s="28" t="str">
        <x:f>IF(OR('Project Schedule'!$G17="",'Project Schedule'!$H17=""),"",IF(AND(Y$4&gt;='Project Schedule'!$G17,Y$4&lt;='Project Schedule'!$H17),IF('Project Schedule'!$D17="Milestone","◆",IF('Project Schedule'!$D17="Phase Header","","■")),""))</x:f>
      </x:c>
      <x:c r="Z19" s="28" t="str">
        <x:f>IF(OR('Project Schedule'!$G17="",'Project Schedule'!$H17=""),"",IF(AND(Z$4&gt;='Project Schedule'!$G17,Z$4&lt;='Project Schedule'!$H17),IF('Project Schedule'!$D17="Milestone","◆",IF('Project Schedule'!$D17="Phase Header","","■")),""))</x:f>
      </x:c>
      <x:c r="AA19" s="28" t="str">
        <x:f>IF(OR('Project Schedule'!$G17="",'Project Schedule'!$H17=""),"",IF(AND(AA$4&gt;='Project Schedule'!$G17,AA$4&lt;='Project Schedule'!$H17),IF('Project Schedule'!$D17="Milestone","◆",IF('Project Schedule'!$D17="Phase Header","","■")),""))</x:f>
      </x:c>
      <x:c r="AB19" s="28" t="str">
        <x:f>IF(OR('Project Schedule'!$G17="",'Project Schedule'!$H17=""),"",IF(AND(AB$4&gt;='Project Schedule'!$G17,AB$4&lt;='Project Schedule'!$H17),IF('Project Schedule'!$D17="Milestone","◆",IF('Project Schedule'!$D17="Phase Header","","■")),""))</x:f>
      </x:c>
      <x:c r="AC19" s="28" t="str">
        <x:f>IF(OR('Project Schedule'!$G17="",'Project Schedule'!$H17=""),"",IF(AND(AC$4&gt;='Project Schedule'!$G17,AC$4&lt;='Project Schedule'!$H17),IF('Project Schedule'!$D17="Milestone","◆",IF('Project Schedule'!$D17="Phase Header","","■")),""))</x:f>
      </x:c>
      <x:c r="AD19" s="28" t="str">
        <x:f>IF(OR('Project Schedule'!$G17="",'Project Schedule'!$H17=""),"",IF(AND(AD$4&gt;='Project Schedule'!$G17,AD$4&lt;='Project Schedule'!$H17),IF('Project Schedule'!$D17="Milestone","◆",IF('Project Schedule'!$D17="Phase Header","","■")),""))</x:f>
      </x:c>
      <x:c r="AE19" s="28" t="str">
        <x:f>IF(OR('Project Schedule'!$G17="",'Project Schedule'!$H17=""),"",IF(AND(AE$4&gt;='Project Schedule'!$G17,AE$4&lt;='Project Schedule'!$H17),IF('Project Schedule'!$D17="Milestone","◆",IF('Project Schedule'!$D17="Phase Header","","■")),""))</x:f>
      </x:c>
      <x:c r="AF19" s="28" t="str">
        <x:f>IF(OR('Project Schedule'!$G17="",'Project Schedule'!$H17=""),"",IF(AND(AF$4&gt;='Project Schedule'!$G17,AF$4&lt;='Project Schedule'!$H17),IF('Project Schedule'!$D17="Milestone","◆",IF('Project Schedule'!$D17="Phase Header","","■")),""))</x:f>
      </x:c>
      <x:c r="AG19" s="28" t="str">
        <x:f>IF(OR('Project Schedule'!$G17="",'Project Schedule'!$H17=""),"",IF(AND(AG$4&gt;='Project Schedule'!$G17,AG$4&lt;='Project Schedule'!$H17),IF('Project Schedule'!$D17="Milestone","◆",IF('Project Schedule'!$D17="Phase Header","","■")),""))</x:f>
      </x:c>
      <x:c r="AH19" s="28" t="str">
        <x:f>IF(OR('Project Schedule'!$G17="",'Project Schedule'!$H17=""),"",IF(AND(AH$4&gt;='Project Schedule'!$G17,AH$4&lt;='Project Schedule'!$H17),IF('Project Schedule'!$D17="Milestone","◆",IF('Project Schedule'!$D17="Phase Header","","■")),""))</x:f>
      </x:c>
      <x:c r="AI19" s="28" t="str">
        <x:f>IF(OR('Project Schedule'!$G17="",'Project Schedule'!$H17=""),"",IF(AND(AI$4&gt;='Project Schedule'!$G17,AI$4&lt;='Project Schedule'!$H17),IF('Project Schedule'!$D17="Milestone","◆",IF('Project Schedule'!$D17="Phase Header","","■")),""))</x:f>
      </x:c>
      <x:c r="AJ19" s="28" t="str">
        <x:f>IF(OR('Project Schedule'!$G17="",'Project Schedule'!$H17=""),"",IF(AND(AJ$4&gt;='Project Schedule'!$G17,AJ$4&lt;='Project Schedule'!$H17),IF('Project Schedule'!$D17="Milestone","◆",IF('Project Schedule'!$D17="Phase Header","","■")),""))</x:f>
      </x:c>
      <x:c r="AK19" s="28" t="str">
        <x:f>IF(OR('Project Schedule'!$G17="",'Project Schedule'!$H17=""),"",IF(AND(AK$4&gt;='Project Schedule'!$G17,AK$4&lt;='Project Schedule'!$H17),IF('Project Schedule'!$D17="Milestone","◆",IF('Project Schedule'!$D17="Phase Header","","■")),""))</x:f>
      </x:c>
      <x:c r="AL19" s="28" t="str">
        <x:f>IF(OR('Project Schedule'!$G17="",'Project Schedule'!$H17=""),"",IF(AND(AL$4&gt;='Project Schedule'!$G17,AL$4&lt;='Project Schedule'!$H17),IF('Project Schedule'!$D17="Milestone","◆",IF('Project Schedule'!$D17="Phase Header","","■")),""))</x:f>
      </x:c>
      <x:c r="AM19" s="28" t="str">
        <x:f>IF(OR('Project Schedule'!$G17="",'Project Schedule'!$H17=""),"",IF(AND(AM$4&gt;='Project Schedule'!$G17,AM$4&lt;='Project Schedule'!$H17),IF('Project Schedule'!$D17="Milestone","◆",IF('Project Schedule'!$D17="Phase Header","","■")),""))</x:f>
      </x:c>
      <x:c r="AN19" s="28" t="str">
        <x:f>IF(OR('Project Schedule'!$G17="",'Project Schedule'!$H17=""),"",IF(AND(AN$4&gt;='Project Schedule'!$G17,AN$4&lt;='Project Schedule'!$H17),IF('Project Schedule'!$D17="Milestone","◆",IF('Project Schedule'!$D17="Phase Header","","■")),""))</x:f>
      </x:c>
      <x:c r="AO19" s="28" t="str">
        <x:f>IF(OR('Project Schedule'!$G17="",'Project Schedule'!$H17=""),"",IF(AND(AO$4&gt;='Project Schedule'!$G17,AO$4&lt;='Project Schedule'!$H17),IF('Project Schedule'!$D17="Milestone","◆",IF('Project Schedule'!$D17="Phase Header","","■")),""))</x:f>
      </x:c>
      <x:c r="AP19" s="28" t="str">
        <x:f>IF(OR('Project Schedule'!$G17="",'Project Schedule'!$H17=""),"",IF(AND(AP$4&gt;='Project Schedule'!$G17,AP$4&lt;='Project Schedule'!$H17),IF('Project Schedule'!$D17="Milestone","◆",IF('Project Schedule'!$D17="Phase Header","","■")),""))</x:f>
      </x:c>
      <x:c r="AQ19" s="28" t="str">
        <x:f>IF(OR('Project Schedule'!$G17="",'Project Schedule'!$H17=""),"",IF(AND(AQ$4&gt;='Project Schedule'!$G17,AQ$4&lt;='Project Schedule'!$H17),IF('Project Schedule'!$D17="Milestone","◆",IF('Project Schedule'!$D17="Phase Header","","■")),""))</x:f>
      </x:c>
      <x:c r="AR19" s="28" t="str">
        <x:f>IF(OR('Project Schedule'!$G17="",'Project Schedule'!$H17=""),"",IF(AND(AR$4&gt;='Project Schedule'!$G17,AR$4&lt;='Project Schedule'!$H17),IF('Project Schedule'!$D17="Milestone","◆",IF('Project Schedule'!$D17="Phase Header","","■")),""))</x:f>
      </x:c>
    </x:row>
    <x:row r="20" ht="32" customHeight="1">
      <x:c r="A20" s="93" t="str">
        <x:f>'Project Schedule'!A18</x:f>
        <x:v>3.1.3</x:v>
      </x:c>
      <x:c r="B20" s="93" t="str">
        <x:f>'Project Schedule'!B18</x:f>
        <x:v>Train staff at remaining five clinics</x:v>
      </x:c>
      <x:c r="C20" s="93" t="str">
        <x:f>'Project Schedule'!D18</x:f>
        <x:v>Task</x:v>
      </x:c>
      <x:c r="D20" s="93" t="n">
        <x:f>'Project Schedule'!J18</x:f>
        <x:v>0</x:v>
      </x:c>
      <x:c r="E20" s="28" t="str">
        <x:f>IF(OR('Project Schedule'!$G18="",'Project Schedule'!$H18=""),"",IF(AND(E$4&gt;='Project Schedule'!$G18,E$4&lt;='Project Schedule'!$H18),IF('Project Schedule'!$D18="Milestone","◆",IF('Project Schedule'!$D18="Phase Header","","■")),""))</x:f>
      </x:c>
      <x:c r="F20" s="28" t="str">
        <x:f>IF(OR('Project Schedule'!$G18="",'Project Schedule'!$H18=""),"",IF(AND(F$4&gt;='Project Schedule'!$G18,F$4&lt;='Project Schedule'!$H18),IF('Project Schedule'!$D18="Milestone","◆",IF('Project Schedule'!$D18="Phase Header","","■")),""))</x:f>
      </x:c>
      <x:c r="G20" s="28" t="str">
        <x:f>IF(OR('Project Schedule'!$G18="",'Project Schedule'!$H18=""),"",IF(AND(G$4&gt;='Project Schedule'!$G18,G$4&lt;='Project Schedule'!$H18),IF('Project Schedule'!$D18="Milestone","◆",IF('Project Schedule'!$D18="Phase Header","","■")),""))</x:f>
      </x:c>
      <x:c r="H20" s="28" t="str">
        <x:f>IF(OR('Project Schedule'!$G18="",'Project Schedule'!$H18=""),"",IF(AND(H$4&gt;='Project Schedule'!$G18,H$4&lt;='Project Schedule'!$H18),IF('Project Schedule'!$D18="Milestone","◆",IF('Project Schedule'!$D18="Phase Header","","■")),""))</x:f>
      </x:c>
      <x:c r="I20" s="28" t="str">
        <x:f>IF(OR('Project Schedule'!$G18="",'Project Schedule'!$H18=""),"",IF(AND(I$4&gt;='Project Schedule'!$G18,I$4&lt;='Project Schedule'!$H18),IF('Project Schedule'!$D18="Milestone","◆",IF('Project Schedule'!$D18="Phase Header","","■")),""))</x:f>
      </x:c>
      <x:c r="J20" s="28" t="str">
        <x:f>IF(OR('Project Schedule'!$G18="",'Project Schedule'!$H18=""),"",IF(AND(J$4&gt;='Project Schedule'!$G18,J$4&lt;='Project Schedule'!$H18),IF('Project Schedule'!$D18="Milestone","◆",IF('Project Schedule'!$D18="Phase Header","","■")),""))</x:f>
      </x:c>
      <x:c r="K20" s="28" t="str">
        <x:f>IF(OR('Project Schedule'!$G18="",'Project Schedule'!$H18=""),"",IF(AND(K$4&gt;='Project Schedule'!$G18,K$4&lt;='Project Schedule'!$H18),IF('Project Schedule'!$D18="Milestone","◆",IF('Project Schedule'!$D18="Phase Header","","■")),""))</x:f>
      </x:c>
      <x:c r="L20" s="28" t="str">
        <x:f>IF(OR('Project Schedule'!$G18="",'Project Schedule'!$H18=""),"",IF(AND(L$4&gt;='Project Schedule'!$G18,L$4&lt;='Project Schedule'!$H18),IF('Project Schedule'!$D18="Milestone","◆",IF('Project Schedule'!$D18="Phase Header","","■")),""))</x:f>
      </x:c>
      <x:c r="M20" s="28" t="str">
        <x:f>IF(OR('Project Schedule'!$G18="",'Project Schedule'!$H18=""),"",IF(AND(M$4&gt;='Project Schedule'!$G18,M$4&lt;='Project Schedule'!$H18),IF('Project Schedule'!$D18="Milestone","◆",IF('Project Schedule'!$D18="Phase Header","","■")),""))</x:f>
      </x:c>
      <x:c r="N20" s="28" t="str">
        <x:f>IF(OR('Project Schedule'!$G18="",'Project Schedule'!$H18=""),"",IF(AND(N$4&gt;='Project Schedule'!$G18,N$4&lt;='Project Schedule'!$H18),IF('Project Schedule'!$D18="Milestone","◆",IF('Project Schedule'!$D18="Phase Header","","■")),""))</x:f>
        <x:v>■</x:v>
      </x:c>
      <x:c r="O20" s="28" t="str">
        <x:f>IF(OR('Project Schedule'!$G18="",'Project Schedule'!$H18=""),"",IF(AND(O$4&gt;='Project Schedule'!$G18,O$4&lt;='Project Schedule'!$H18),IF('Project Schedule'!$D18="Milestone","◆",IF('Project Schedule'!$D18="Phase Header","","■")),""))</x:f>
        <x:v>■</x:v>
      </x:c>
      <x:c r="P20" s="28" t="str">
        <x:f>IF(OR('Project Schedule'!$G18="",'Project Schedule'!$H18=""),"",IF(AND(P$4&gt;='Project Schedule'!$G18,P$4&lt;='Project Schedule'!$H18),IF('Project Schedule'!$D18="Milestone","◆",IF('Project Schedule'!$D18="Phase Header","","■")),""))</x:f>
        <x:v>■</x:v>
      </x:c>
      <x:c r="Q20" s="28" t="str">
        <x:f>IF(OR('Project Schedule'!$G18="",'Project Schedule'!$H18=""),"",IF(AND(Q$4&gt;='Project Schedule'!$G18,Q$4&lt;='Project Schedule'!$H18),IF('Project Schedule'!$D18="Milestone","◆",IF('Project Schedule'!$D18="Phase Header","","■")),""))</x:f>
      </x:c>
      <x:c r="R20" s="28" t="str">
        <x:f>IF(OR('Project Schedule'!$G18="",'Project Schedule'!$H18=""),"",IF(AND(R$4&gt;='Project Schedule'!$G18,R$4&lt;='Project Schedule'!$H18),IF('Project Schedule'!$D18="Milestone","◆",IF('Project Schedule'!$D18="Phase Header","","■")),""))</x:f>
      </x:c>
      <x:c r="S20" s="28" t="str">
        <x:f>IF(OR('Project Schedule'!$G18="",'Project Schedule'!$H18=""),"",IF(AND(S$4&gt;='Project Schedule'!$G18,S$4&lt;='Project Schedule'!$H18),IF('Project Schedule'!$D18="Milestone","◆",IF('Project Schedule'!$D18="Phase Header","","■")),""))</x:f>
      </x:c>
      <x:c r="T20" s="28" t="str">
        <x:f>IF(OR('Project Schedule'!$G18="",'Project Schedule'!$H18=""),"",IF(AND(T$4&gt;='Project Schedule'!$G18,T$4&lt;='Project Schedule'!$H18),IF('Project Schedule'!$D18="Milestone","◆",IF('Project Schedule'!$D18="Phase Header","","■")),""))</x:f>
      </x:c>
      <x:c r="U20" s="28" t="str">
        <x:f>IF(OR('Project Schedule'!$G18="",'Project Schedule'!$H18=""),"",IF(AND(U$4&gt;='Project Schedule'!$G18,U$4&lt;='Project Schedule'!$H18),IF('Project Schedule'!$D18="Milestone","◆",IF('Project Schedule'!$D18="Phase Header","","■")),""))</x:f>
      </x:c>
      <x:c r="V20" s="28" t="str">
        <x:f>IF(OR('Project Schedule'!$G18="",'Project Schedule'!$H18=""),"",IF(AND(V$4&gt;='Project Schedule'!$G18,V$4&lt;='Project Schedule'!$H18),IF('Project Schedule'!$D18="Milestone","◆",IF('Project Schedule'!$D18="Phase Header","","■")),""))</x:f>
      </x:c>
      <x:c r="W20" s="28" t="str">
        <x:f>IF(OR('Project Schedule'!$G18="",'Project Schedule'!$H18=""),"",IF(AND(W$4&gt;='Project Schedule'!$G18,W$4&lt;='Project Schedule'!$H18),IF('Project Schedule'!$D18="Milestone","◆",IF('Project Schedule'!$D18="Phase Header","","■")),""))</x:f>
      </x:c>
      <x:c r="X20" s="28" t="str">
        <x:f>IF(OR('Project Schedule'!$G18="",'Project Schedule'!$H18=""),"",IF(AND(X$4&gt;='Project Schedule'!$G18,X$4&lt;='Project Schedule'!$H18),IF('Project Schedule'!$D18="Milestone","◆",IF('Project Schedule'!$D18="Phase Header","","■")),""))</x:f>
      </x:c>
      <x:c r="Y20" s="28" t="str">
        <x:f>IF(OR('Project Schedule'!$G18="",'Project Schedule'!$H18=""),"",IF(AND(Y$4&gt;='Project Schedule'!$G18,Y$4&lt;='Project Schedule'!$H18),IF('Project Schedule'!$D18="Milestone","◆",IF('Project Schedule'!$D18="Phase Header","","■")),""))</x:f>
      </x:c>
      <x:c r="Z20" s="28" t="str">
        <x:f>IF(OR('Project Schedule'!$G18="",'Project Schedule'!$H18=""),"",IF(AND(Z$4&gt;='Project Schedule'!$G18,Z$4&lt;='Project Schedule'!$H18),IF('Project Schedule'!$D18="Milestone","◆",IF('Project Schedule'!$D18="Phase Header","","■")),""))</x:f>
      </x:c>
      <x:c r="AA20" s="28" t="str">
        <x:f>IF(OR('Project Schedule'!$G18="",'Project Schedule'!$H18=""),"",IF(AND(AA$4&gt;='Project Schedule'!$G18,AA$4&lt;='Project Schedule'!$H18),IF('Project Schedule'!$D18="Milestone","◆",IF('Project Schedule'!$D18="Phase Header","","■")),""))</x:f>
      </x:c>
      <x:c r="AB20" s="28" t="str">
        <x:f>IF(OR('Project Schedule'!$G18="",'Project Schedule'!$H18=""),"",IF(AND(AB$4&gt;='Project Schedule'!$G18,AB$4&lt;='Project Schedule'!$H18),IF('Project Schedule'!$D18="Milestone","◆",IF('Project Schedule'!$D18="Phase Header","","■")),""))</x:f>
      </x:c>
      <x:c r="AC20" s="28" t="str">
        <x:f>IF(OR('Project Schedule'!$G18="",'Project Schedule'!$H18=""),"",IF(AND(AC$4&gt;='Project Schedule'!$G18,AC$4&lt;='Project Schedule'!$H18),IF('Project Schedule'!$D18="Milestone","◆",IF('Project Schedule'!$D18="Phase Header","","■")),""))</x:f>
      </x:c>
      <x:c r="AD20" s="28" t="str">
        <x:f>IF(OR('Project Schedule'!$G18="",'Project Schedule'!$H18=""),"",IF(AND(AD$4&gt;='Project Schedule'!$G18,AD$4&lt;='Project Schedule'!$H18),IF('Project Schedule'!$D18="Milestone","◆",IF('Project Schedule'!$D18="Phase Header","","■")),""))</x:f>
      </x:c>
      <x:c r="AE20" s="28" t="str">
        <x:f>IF(OR('Project Schedule'!$G18="",'Project Schedule'!$H18=""),"",IF(AND(AE$4&gt;='Project Schedule'!$G18,AE$4&lt;='Project Schedule'!$H18),IF('Project Schedule'!$D18="Milestone","◆",IF('Project Schedule'!$D18="Phase Header","","■")),""))</x:f>
      </x:c>
      <x:c r="AF20" s="28" t="str">
        <x:f>IF(OR('Project Schedule'!$G18="",'Project Schedule'!$H18=""),"",IF(AND(AF$4&gt;='Project Schedule'!$G18,AF$4&lt;='Project Schedule'!$H18),IF('Project Schedule'!$D18="Milestone","◆",IF('Project Schedule'!$D18="Phase Header","","■")),""))</x:f>
      </x:c>
      <x:c r="AG20" s="28" t="str">
        <x:f>IF(OR('Project Schedule'!$G18="",'Project Schedule'!$H18=""),"",IF(AND(AG$4&gt;='Project Schedule'!$G18,AG$4&lt;='Project Schedule'!$H18),IF('Project Schedule'!$D18="Milestone","◆",IF('Project Schedule'!$D18="Phase Header","","■")),""))</x:f>
      </x:c>
      <x:c r="AH20" s="28" t="str">
        <x:f>IF(OR('Project Schedule'!$G18="",'Project Schedule'!$H18=""),"",IF(AND(AH$4&gt;='Project Schedule'!$G18,AH$4&lt;='Project Schedule'!$H18),IF('Project Schedule'!$D18="Milestone","◆",IF('Project Schedule'!$D18="Phase Header","","■")),""))</x:f>
      </x:c>
      <x:c r="AI20" s="28" t="str">
        <x:f>IF(OR('Project Schedule'!$G18="",'Project Schedule'!$H18=""),"",IF(AND(AI$4&gt;='Project Schedule'!$G18,AI$4&lt;='Project Schedule'!$H18),IF('Project Schedule'!$D18="Milestone","◆",IF('Project Schedule'!$D18="Phase Header","","■")),""))</x:f>
      </x:c>
      <x:c r="AJ20" s="28" t="str">
        <x:f>IF(OR('Project Schedule'!$G18="",'Project Schedule'!$H18=""),"",IF(AND(AJ$4&gt;='Project Schedule'!$G18,AJ$4&lt;='Project Schedule'!$H18),IF('Project Schedule'!$D18="Milestone","◆",IF('Project Schedule'!$D18="Phase Header","","■")),""))</x:f>
      </x:c>
      <x:c r="AK20" s="28" t="str">
        <x:f>IF(OR('Project Schedule'!$G18="",'Project Schedule'!$H18=""),"",IF(AND(AK$4&gt;='Project Schedule'!$G18,AK$4&lt;='Project Schedule'!$H18),IF('Project Schedule'!$D18="Milestone","◆",IF('Project Schedule'!$D18="Phase Header","","■")),""))</x:f>
      </x:c>
      <x:c r="AL20" s="28" t="str">
        <x:f>IF(OR('Project Schedule'!$G18="",'Project Schedule'!$H18=""),"",IF(AND(AL$4&gt;='Project Schedule'!$G18,AL$4&lt;='Project Schedule'!$H18),IF('Project Schedule'!$D18="Milestone","◆",IF('Project Schedule'!$D18="Phase Header","","■")),""))</x:f>
      </x:c>
      <x:c r="AM20" s="28" t="str">
        <x:f>IF(OR('Project Schedule'!$G18="",'Project Schedule'!$H18=""),"",IF(AND(AM$4&gt;='Project Schedule'!$G18,AM$4&lt;='Project Schedule'!$H18),IF('Project Schedule'!$D18="Milestone","◆",IF('Project Schedule'!$D18="Phase Header","","■")),""))</x:f>
      </x:c>
      <x:c r="AN20" s="28" t="str">
        <x:f>IF(OR('Project Schedule'!$G18="",'Project Schedule'!$H18=""),"",IF(AND(AN$4&gt;='Project Schedule'!$G18,AN$4&lt;='Project Schedule'!$H18),IF('Project Schedule'!$D18="Milestone","◆",IF('Project Schedule'!$D18="Phase Header","","■")),""))</x:f>
      </x:c>
      <x:c r="AO20" s="28" t="str">
        <x:f>IF(OR('Project Schedule'!$G18="",'Project Schedule'!$H18=""),"",IF(AND(AO$4&gt;='Project Schedule'!$G18,AO$4&lt;='Project Schedule'!$H18),IF('Project Schedule'!$D18="Milestone","◆",IF('Project Schedule'!$D18="Phase Header","","■")),""))</x:f>
      </x:c>
      <x:c r="AP20" s="28" t="str">
        <x:f>IF(OR('Project Schedule'!$G18="",'Project Schedule'!$H18=""),"",IF(AND(AP$4&gt;='Project Schedule'!$G18,AP$4&lt;='Project Schedule'!$H18),IF('Project Schedule'!$D18="Milestone","◆",IF('Project Schedule'!$D18="Phase Header","","■")),""))</x:f>
      </x:c>
      <x:c r="AQ20" s="28" t="str">
        <x:f>IF(OR('Project Schedule'!$G18="",'Project Schedule'!$H18=""),"",IF(AND(AQ$4&gt;='Project Schedule'!$G18,AQ$4&lt;='Project Schedule'!$H18),IF('Project Schedule'!$D18="Milestone","◆",IF('Project Schedule'!$D18="Phase Header","","■")),""))</x:f>
      </x:c>
      <x:c r="AR20" s="28" t="str">
        <x:f>IF(OR('Project Schedule'!$G18="",'Project Schedule'!$H18=""),"",IF(AND(AR$4&gt;='Project Schedule'!$G18,AR$4&lt;='Project Schedule'!$H18),IF('Project Schedule'!$D18="Milestone","◆",IF('Project Schedule'!$D18="Phase Header","","■")),""))</x:f>
      </x:c>
    </x:row>
    <x:row r="21" ht="32" customHeight="1">
      <x:c r="A21" s="93" t="str">
        <x:f>'Project Schedule'!A19</x:f>
        <x:v>3.3.1</x:v>
      </x:c>
      <x:c r="B21" s="93" t="str">
        <x:f>'Project Schedule'!B19</x:f>
        <x:v>Deploy and verify remaining five clinics</x:v>
      </x:c>
      <x:c r="C21" s="93" t="str">
        <x:f>'Project Schedule'!D19</x:f>
        <x:v>Task</x:v>
      </x:c>
      <x:c r="D21" s="93" t="str">
        <x:f>'Project Schedule'!J19</x:f>
        <x:v>YES</x:v>
      </x:c>
      <x:c r="E21" s="28" t="str">
        <x:f>IF(OR('Project Schedule'!$G19="",'Project Schedule'!$H19=""),"",IF(AND(E$4&gt;='Project Schedule'!$G19,E$4&lt;='Project Schedule'!$H19),IF('Project Schedule'!$D19="Milestone","◆",IF('Project Schedule'!$D19="Phase Header","","■")),""))</x:f>
      </x:c>
      <x:c r="F21" s="28" t="str">
        <x:f>IF(OR('Project Schedule'!$G19="",'Project Schedule'!$H19=""),"",IF(AND(F$4&gt;='Project Schedule'!$G19,F$4&lt;='Project Schedule'!$H19),IF('Project Schedule'!$D19="Milestone","◆",IF('Project Schedule'!$D19="Phase Header","","■")),""))</x:f>
      </x:c>
      <x:c r="G21" s="28" t="str">
        <x:f>IF(OR('Project Schedule'!$G19="",'Project Schedule'!$H19=""),"",IF(AND(G$4&gt;='Project Schedule'!$G19,G$4&lt;='Project Schedule'!$H19),IF('Project Schedule'!$D19="Milestone","◆",IF('Project Schedule'!$D19="Phase Header","","■")),""))</x:f>
      </x:c>
      <x:c r="H21" s="28" t="str">
        <x:f>IF(OR('Project Schedule'!$G19="",'Project Schedule'!$H19=""),"",IF(AND(H$4&gt;='Project Schedule'!$G19,H$4&lt;='Project Schedule'!$H19),IF('Project Schedule'!$D19="Milestone","◆",IF('Project Schedule'!$D19="Phase Header","","■")),""))</x:f>
      </x:c>
      <x:c r="I21" s="28" t="str">
        <x:f>IF(OR('Project Schedule'!$G19="",'Project Schedule'!$H19=""),"",IF(AND(I$4&gt;='Project Schedule'!$G19,I$4&lt;='Project Schedule'!$H19),IF('Project Schedule'!$D19="Milestone","◆",IF('Project Schedule'!$D19="Phase Header","","■")),""))</x:f>
      </x:c>
      <x:c r="J21" s="28" t="str">
        <x:f>IF(OR('Project Schedule'!$G19="",'Project Schedule'!$H19=""),"",IF(AND(J$4&gt;='Project Schedule'!$G19,J$4&lt;='Project Schedule'!$H19),IF('Project Schedule'!$D19="Milestone","◆",IF('Project Schedule'!$D19="Phase Header","","■")),""))</x:f>
      </x:c>
      <x:c r="K21" s="28" t="str">
        <x:f>IF(OR('Project Schedule'!$G19="",'Project Schedule'!$H19=""),"",IF(AND(K$4&gt;='Project Schedule'!$G19,K$4&lt;='Project Schedule'!$H19),IF('Project Schedule'!$D19="Milestone","◆",IF('Project Schedule'!$D19="Phase Header","","■")),""))</x:f>
      </x:c>
      <x:c r="L21" s="28" t="str">
        <x:f>IF(OR('Project Schedule'!$G19="",'Project Schedule'!$H19=""),"",IF(AND(L$4&gt;='Project Schedule'!$G19,L$4&lt;='Project Schedule'!$H19),IF('Project Schedule'!$D19="Milestone","◆",IF('Project Schedule'!$D19="Phase Header","","■")),""))</x:f>
      </x:c>
      <x:c r="M21" s="28" t="str">
        <x:f>IF(OR('Project Schedule'!$G19="",'Project Schedule'!$H19=""),"",IF(AND(M$4&gt;='Project Schedule'!$G19,M$4&lt;='Project Schedule'!$H19),IF('Project Schedule'!$D19="Milestone","◆",IF('Project Schedule'!$D19="Phase Header","","■")),""))</x:f>
      </x:c>
      <x:c r="N21" s="28" t="str">
        <x:f>IF(OR('Project Schedule'!$G19="",'Project Schedule'!$H19=""),"",IF(AND(N$4&gt;='Project Schedule'!$G19,N$4&lt;='Project Schedule'!$H19),IF('Project Schedule'!$D19="Milestone","◆",IF('Project Schedule'!$D19="Phase Header","","■")),""))</x:f>
      </x:c>
      <x:c r="O21" s="28" t="str">
        <x:f>IF(OR('Project Schedule'!$G19="",'Project Schedule'!$H19=""),"",IF(AND(O$4&gt;='Project Schedule'!$G19,O$4&lt;='Project Schedule'!$H19),IF('Project Schedule'!$D19="Milestone","◆",IF('Project Schedule'!$D19="Phase Header","","■")),""))</x:f>
      </x:c>
      <x:c r="P21" s="28" t="str">
        <x:f>IF(OR('Project Schedule'!$G19="",'Project Schedule'!$H19=""),"",IF(AND(P$4&gt;='Project Schedule'!$G19,P$4&lt;='Project Schedule'!$H19),IF('Project Schedule'!$D19="Milestone","◆",IF('Project Schedule'!$D19="Phase Header","","■")),""))</x:f>
      </x:c>
      <x:c r="Q21" s="28" t="str">
        <x:f>IF(OR('Project Schedule'!$G19="",'Project Schedule'!$H19=""),"",IF(AND(Q$4&gt;='Project Schedule'!$G19,Q$4&lt;='Project Schedule'!$H19),IF('Project Schedule'!$D19="Milestone","◆",IF('Project Schedule'!$D19="Phase Header","","■")),""))</x:f>
        <x:v>■</x:v>
      </x:c>
      <x:c r="R21" s="28" t="str">
        <x:f>IF(OR('Project Schedule'!$G19="",'Project Schedule'!$H19=""),"",IF(AND(R$4&gt;='Project Schedule'!$G19,R$4&lt;='Project Schedule'!$H19),IF('Project Schedule'!$D19="Milestone","◆",IF('Project Schedule'!$D19="Phase Header","","■")),""))</x:f>
      </x:c>
      <x:c r="S21" s="28" t="str">
        <x:f>IF(OR('Project Schedule'!$G19="",'Project Schedule'!$H19=""),"",IF(AND(S$4&gt;='Project Schedule'!$G19,S$4&lt;='Project Schedule'!$H19),IF('Project Schedule'!$D19="Milestone","◆",IF('Project Schedule'!$D19="Phase Header","","■")),""))</x:f>
      </x:c>
      <x:c r="T21" s="28" t="str">
        <x:f>IF(OR('Project Schedule'!$G19="",'Project Schedule'!$H19=""),"",IF(AND(T$4&gt;='Project Schedule'!$G19,T$4&lt;='Project Schedule'!$H19),IF('Project Schedule'!$D19="Milestone","◆",IF('Project Schedule'!$D19="Phase Header","","■")),""))</x:f>
      </x:c>
      <x:c r="U21" s="28" t="str">
        <x:f>IF(OR('Project Schedule'!$G19="",'Project Schedule'!$H19=""),"",IF(AND(U$4&gt;='Project Schedule'!$G19,U$4&lt;='Project Schedule'!$H19),IF('Project Schedule'!$D19="Milestone","◆",IF('Project Schedule'!$D19="Phase Header","","■")),""))</x:f>
      </x:c>
      <x:c r="V21" s="28" t="str">
        <x:f>IF(OR('Project Schedule'!$G19="",'Project Schedule'!$H19=""),"",IF(AND(V$4&gt;='Project Schedule'!$G19,V$4&lt;='Project Schedule'!$H19),IF('Project Schedule'!$D19="Milestone","◆",IF('Project Schedule'!$D19="Phase Header","","■")),""))</x:f>
      </x:c>
      <x:c r="W21" s="28" t="str">
        <x:f>IF(OR('Project Schedule'!$G19="",'Project Schedule'!$H19=""),"",IF(AND(W$4&gt;='Project Schedule'!$G19,W$4&lt;='Project Schedule'!$H19),IF('Project Schedule'!$D19="Milestone","◆",IF('Project Schedule'!$D19="Phase Header","","■")),""))</x:f>
      </x:c>
      <x:c r="X21" s="28" t="str">
        <x:f>IF(OR('Project Schedule'!$G19="",'Project Schedule'!$H19=""),"",IF(AND(X$4&gt;='Project Schedule'!$G19,X$4&lt;='Project Schedule'!$H19),IF('Project Schedule'!$D19="Milestone","◆",IF('Project Schedule'!$D19="Phase Header","","■")),""))</x:f>
      </x:c>
      <x:c r="Y21" s="28" t="str">
        <x:f>IF(OR('Project Schedule'!$G19="",'Project Schedule'!$H19=""),"",IF(AND(Y$4&gt;='Project Schedule'!$G19,Y$4&lt;='Project Schedule'!$H19),IF('Project Schedule'!$D19="Milestone","◆",IF('Project Schedule'!$D19="Phase Header","","■")),""))</x:f>
      </x:c>
      <x:c r="Z21" s="28" t="str">
        <x:f>IF(OR('Project Schedule'!$G19="",'Project Schedule'!$H19=""),"",IF(AND(Z$4&gt;='Project Schedule'!$G19,Z$4&lt;='Project Schedule'!$H19),IF('Project Schedule'!$D19="Milestone","◆",IF('Project Schedule'!$D19="Phase Header","","■")),""))</x:f>
      </x:c>
      <x:c r="AA21" s="28" t="str">
        <x:f>IF(OR('Project Schedule'!$G19="",'Project Schedule'!$H19=""),"",IF(AND(AA$4&gt;='Project Schedule'!$G19,AA$4&lt;='Project Schedule'!$H19),IF('Project Schedule'!$D19="Milestone","◆",IF('Project Schedule'!$D19="Phase Header","","■")),""))</x:f>
      </x:c>
      <x:c r="AB21" s="28" t="str">
        <x:f>IF(OR('Project Schedule'!$G19="",'Project Schedule'!$H19=""),"",IF(AND(AB$4&gt;='Project Schedule'!$G19,AB$4&lt;='Project Schedule'!$H19),IF('Project Schedule'!$D19="Milestone","◆",IF('Project Schedule'!$D19="Phase Header","","■")),""))</x:f>
      </x:c>
      <x:c r="AC21" s="28" t="str">
        <x:f>IF(OR('Project Schedule'!$G19="",'Project Schedule'!$H19=""),"",IF(AND(AC$4&gt;='Project Schedule'!$G19,AC$4&lt;='Project Schedule'!$H19),IF('Project Schedule'!$D19="Milestone","◆",IF('Project Schedule'!$D19="Phase Header","","■")),""))</x:f>
      </x:c>
      <x:c r="AD21" s="28" t="str">
        <x:f>IF(OR('Project Schedule'!$G19="",'Project Schedule'!$H19=""),"",IF(AND(AD$4&gt;='Project Schedule'!$G19,AD$4&lt;='Project Schedule'!$H19),IF('Project Schedule'!$D19="Milestone","◆",IF('Project Schedule'!$D19="Phase Header","","■")),""))</x:f>
      </x:c>
      <x:c r="AE21" s="28" t="str">
        <x:f>IF(OR('Project Schedule'!$G19="",'Project Schedule'!$H19=""),"",IF(AND(AE$4&gt;='Project Schedule'!$G19,AE$4&lt;='Project Schedule'!$H19),IF('Project Schedule'!$D19="Milestone","◆",IF('Project Schedule'!$D19="Phase Header","","■")),""))</x:f>
      </x:c>
      <x:c r="AF21" s="28" t="str">
        <x:f>IF(OR('Project Schedule'!$G19="",'Project Schedule'!$H19=""),"",IF(AND(AF$4&gt;='Project Schedule'!$G19,AF$4&lt;='Project Schedule'!$H19),IF('Project Schedule'!$D19="Milestone","◆",IF('Project Schedule'!$D19="Phase Header","","■")),""))</x:f>
      </x:c>
      <x:c r="AG21" s="28" t="str">
        <x:f>IF(OR('Project Schedule'!$G19="",'Project Schedule'!$H19=""),"",IF(AND(AG$4&gt;='Project Schedule'!$G19,AG$4&lt;='Project Schedule'!$H19),IF('Project Schedule'!$D19="Milestone","◆",IF('Project Schedule'!$D19="Phase Header","","■")),""))</x:f>
      </x:c>
      <x:c r="AH21" s="28" t="str">
        <x:f>IF(OR('Project Schedule'!$G19="",'Project Schedule'!$H19=""),"",IF(AND(AH$4&gt;='Project Schedule'!$G19,AH$4&lt;='Project Schedule'!$H19),IF('Project Schedule'!$D19="Milestone","◆",IF('Project Schedule'!$D19="Phase Header","","■")),""))</x:f>
      </x:c>
      <x:c r="AI21" s="28" t="str">
        <x:f>IF(OR('Project Schedule'!$G19="",'Project Schedule'!$H19=""),"",IF(AND(AI$4&gt;='Project Schedule'!$G19,AI$4&lt;='Project Schedule'!$H19),IF('Project Schedule'!$D19="Milestone","◆",IF('Project Schedule'!$D19="Phase Header","","■")),""))</x:f>
      </x:c>
      <x:c r="AJ21" s="28" t="str">
        <x:f>IF(OR('Project Schedule'!$G19="",'Project Schedule'!$H19=""),"",IF(AND(AJ$4&gt;='Project Schedule'!$G19,AJ$4&lt;='Project Schedule'!$H19),IF('Project Schedule'!$D19="Milestone","◆",IF('Project Schedule'!$D19="Phase Header","","■")),""))</x:f>
      </x:c>
      <x:c r="AK21" s="28" t="str">
        <x:f>IF(OR('Project Schedule'!$G19="",'Project Schedule'!$H19=""),"",IF(AND(AK$4&gt;='Project Schedule'!$G19,AK$4&lt;='Project Schedule'!$H19),IF('Project Schedule'!$D19="Milestone","◆",IF('Project Schedule'!$D19="Phase Header","","■")),""))</x:f>
      </x:c>
      <x:c r="AL21" s="28" t="str">
        <x:f>IF(OR('Project Schedule'!$G19="",'Project Schedule'!$H19=""),"",IF(AND(AL$4&gt;='Project Schedule'!$G19,AL$4&lt;='Project Schedule'!$H19),IF('Project Schedule'!$D19="Milestone","◆",IF('Project Schedule'!$D19="Phase Header","","■")),""))</x:f>
      </x:c>
      <x:c r="AM21" s="28" t="str">
        <x:f>IF(OR('Project Schedule'!$G19="",'Project Schedule'!$H19=""),"",IF(AND(AM$4&gt;='Project Schedule'!$G19,AM$4&lt;='Project Schedule'!$H19),IF('Project Schedule'!$D19="Milestone","◆",IF('Project Schedule'!$D19="Phase Header","","■")),""))</x:f>
      </x:c>
      <x:c r="AN21" s="28" t="str">
        <x:f>IF(OR('Project Schedule'!$G19="",'Project Schedule'!$H19=""),"",IF(AND(AN$4&gt;='Project Schedule'!$G19,AN$4&lt;='Project Schedule'!$H19),IF('Project Schedule'!$D19="Milestone","◆",IF('Project Schedule'!$D19="Phase Header","","■")),""))</x:f>
      </x:c>
      <x:c r="AO21" s="28" t="str">
        <x:f>IF(OR('Project Schedule'!$G19="",'Project Schedule'!$H19=""),"",IF(AND(AO$4&gt;='Project Schedule'!$G19,AO$4&lt;='Project Schedule'!$H19),IF('Project Schedule'!$D19="Milestone","◆",IF('Project Schedule'!$D19="Phase Header","","■")),""))</x:f>
      </x:c>
      <x:c r="AP21" s="28" t="str">
        <x:f>IF(OR('Project Schedule'!$G19="",'Project Schedule'!$H19=""),"",IF(AND(AP$4&gt;='Project Schedule'!$G19,AP$4&lt;='Project Schedule'!$H19),IF('Project Schedule'!$D19="Milestone","◆",IF('Project Schedule'!$D19="Phase Header","","■")),""))</x:f>
      </x:c>
      <x:c r="AQ21" s="28" t="str">
        <x:f>IF(OR('Project Schedule'!$G19="",'Project Schedule'!$H19=""),"",IF(AND(AQ$4&gt;='Project Schedule'!$G19,AQ$4&lt;='Project Schedule'!$H19),IF('Project Schedule'!$D19="Milestone","◆",IF('Project Schedule'!$D19="Phase Header","","■")),""))</x:f>
      </x:c>
      <x:c r="AR21" s="28" t="str">
        <x:f>IF(OR('Project Schedule'!$G19="",'Project Schedule'!$H19=""),"",IF(AND(AR$4&gt;='Project Schedule'!$G19,AR$4&lt;='Project Schedule'!$H19),IF('Project Schedule'!$D19="Milestone","◆",IF('Project Schedule'!$D19="Phase Header","","■")),""))</x:f>
      </x:c>
    </x:row>
    <x:row r="22" ht="32" customHeight="1">
      <x:c r="A22" s="93" t="str">
        <x:f>'Project Schedule'!A20</x:f>
        <x:v>3.3.2</x:v>
      </x:c>
      <x:c r="B22" s="93" t="str">
        <x:f>'Project Schedule'!B20</x:f>
        <x:v>All six clinics live and verified</x:v>
      </x:c>
      <x:c r="C22" s="93" t="str">
        <x:f>'Project Schedule'!D20</x:f>
        <x:v>Milestone</x:v>
      </x:c>
      <x:c r="D22" s="93" t="n">
        <x:f>'Project Schedule'!J20</x:f>
        <x:v>0</x:v>
      </x:c>
      <x:c r="E22" s="28" t="str">
        <x:f>IF(OR('Project Schedule'!$G20="",'Project Schedule'!$H20=""),"",IF(AND(E$4&gt;='Project Schedule'!$G20,E$4&lt;='Project Schedule'!$H20),IF('Project Schedule'!$D20="Milestone","◆",IF('Project Schedule'!$D20="Phase Header","","■")),""))</x:f>
      </x:c>
      <x:c r="F22" s="28" t="str">
        <x:f>IF(OR('Project Schedule'!$G20="",'Project Schedule'!$H20=""),"",IF(AND(F$4&gt;='Project Schedule'!$G20,F$4&lt;='Project Schedule'!$H20),IF('Project Schedule'!$D20="Milestone","◆",IF('Project Schedule'!$D20="Phase Header","","■")),""))</x:f>
      </x:c>
      <x:c r="G22" s="28" t="str">
        <x:f>IF(OR('Project Schedule'!$G20="",'Project Schedule'!$H20=""),"",IF(AND(G$4&gt;='Project Schedule'!$G20,G$4&lt;='Project Schedule'!$H20),IF('Project Schedule'!$D20="Milestone","◆",IF('Project Schedule'!$D20="Phase Header","","■")),""))</x:f>
      </x:c>
      <x:c r="H22" s="28" t="str">
        <x:f>IF(OR('Project Schedule'!$G20="",'Project Schedule'!$H20=""),"",IF(AND(H$4&gt;='Project Schedule'!$G20,H$4&lt;='Project Schedule'!$H20),IF('Project Schedule'!$D20="Milestone","◆",IF('Project Schedule'!$D20="Phase Header","","■")),""))</x:f>
      </x:c>
      <x:c r="I22" s="28" t="str">
        <x:f>IF(OR('Project Schedule'!$G20="",'Project Schedule'!$H20=""),"",IF(AND(I$4&gt;='Project Schedule'!$G20,I$4&lt;='Project Schedule'!$H20),IF('Project Schedule'!$D20="Milestone","◆",IF('Project Schedule'!$D20="Phase Header","","■")),""))</x:f>
      </x:c>
      <x:c r="J22" s="28" t="str">
        <x:f>IF(OR('Project Schedule'!$G20="",'Project Schedule'!$H20=""),"",IF(AND(J$4&gt;='Project Schedule'!$G20,J$4&lt;='Project Schedule'!$H20),IF('Project Schedule'!$D20="Milestone","◆",IF('Project Schedule'!$D20="Phase Header","","■")),""))</x:f>
      </x:c>
      <x:c r="K22" s="28" t="str">
        <x:f>IF(OR('Project Schedule'!$G20="",'Project Schedule'!$H20=""),"",IF(AND(K$4&gt;='Project Schedule'!$G20,K$4&lt;='Project Schedule'!$H20),IF('Project Schedule'!$D20="Milestone","◆",IF('Project Schedule'!$D20="Phase Header","","■")),""))</x:f>
      </x:c>
      <x:c r="L22" s="28" t="str">
        <x:f>IF(OR('Project Schedule'!$G20="",'Project Schedule'!$H20=""),"",IF(AND(L$4&gt;='Project Schedule'!$G20,L$4&lt;='Project Schedule'!$H20),IF('Project Schedule'!$D20="Milestone","◆",IF('Project Schedule'!$D20="Phase Header","","■")),""))</x:f>
      </x:c>
      <x:c r="M22" s="28" t="str">
        <x:f>IF(OR('Project Schedule'!$G20="",'Project Schedule'!$H20=""),"",IF(AND(M$4&gt;='Project Schedule'!$G20,M$4&lt;='Project Schedule'!$H20),IF('Project Schedule'!$D20="Milestone","◆",IF('Project Schedule'!$D20="Phase Header","","■")),""))</x:f>
      </x:c>
      <x:c r="N22" s="28" t="str">
        <x:f>IF(OR('Project Schedule'!$G20="",'Project Schedule'!$H20=""),"",IF(AND(N$4&gt;='Project Schedule'!$G20,N$4&lt;='Project Schedule'!$H20),IF('Project Schedule'!$D20="Milestone","◆",IF('Project Schedule'!$D20="Phase Header","","■")),""))</x:f>
      </x:c>
      <x:c r="O22" s="28" t="str">
        <x:f>IF(OR('Project Schedule'!$G20="",'Project Schedule'!$H20=""),"",IF(AND(O$4&gt;='Project Schedule'!$G20,O$4&lt;='Project Schedule'!$H20),IF('Project Schedule'!$D20="Milestone","◆",IF('Project Schedule'!$D20="Phase Header","","■")),""))</x:f>
      </x:c>
      <x:c r="P22" s="28" t="str">
        <x:f>IF(OR('Project Schedule'!$G20="",'Project Schedule'!$H20=""),"",IF(AND(P$4&gt;='Project Schedule'!$G20,P$4&lt;='Project Schedule'!$H20),IF('Project Schedule'!$D20="Milestone","◆",IF('Project Schedule'!$D20="Phase Header","","■")),""))</x:f>
      </x:c>
      <x:c r="Q22" s="28" t="str">
        <x:f>IF(OR('Project Schedule'!$G20="",'Project Schedule'!$H20=""),"",IF(AND(Q$4&gt;='Project Schedule'!$G20,Q$4&lt;='Project Schedule'!$H20),IF('Project Schedule'!$D20="Milestone","◆",IF('Project Schedule'!$D20="Phase Header","","■")),""))</x:f>
        <x:v>◆</x:v>
      </x:c>
      <x:c r="R22" s="28" t="str">
        <x:f>IF(OR('Project Schedule'!$G20="",'Project Schedule'!$H20=""),"",IF(AND(R$4&gt;='Project Schedule'!$G20,R$4&lt;='Project Schedule'!$H20),IF('Project Schedule'!$D20="Milestone","◆",IF('Project Schedule'!$D20="Phase Header","","■")),""))</x:f>
      </x:c>
      <x:c r="S22" s="28" t="str">
        <x:f>IF(OR('Project Schedule'!$G20="",'Project Schedule'!$H20=""),"",IF(AND(S$4&gt;='Project Schedule'!$G20,S$4&lt;='Project Schedule'!$H20),IF('Project Schedule'!$D20="Milestone","◆",IF('Project Schedule'!$D20="Phase Header","","■")),""))</x:f>
      </x:c>
      <x:c r="T22" s="28" t="str">
        <x:f>IF(OR('Project Schedule'!$G20="",'Project Schedule'!$H20=""),"",IF(AND(T$4&gt;='Project Schedule'!$G20,T$4&lt;='Project Schedule'!$H20),IF('Project Schedule'!$D20="Milestone","◆",IF('Project Schedule'!$D20="Phase Header","","■")),""))</x:f>
      </x:c>
      <x:c r="U22" s="28" t="str">
        <x:f>IF(OR('Project Schedule'!$G20="",'Project Schedule'!$H20=""),"",IF(AND(U$4&gt;='Project Schedule'!$G20,U$4&lt;='Project Schedule'!$H20),IF('Project Schedule'!$D20="Milestone","◆",IF('Project Schedule'!$D20="Phase Header","","■")),""))</x:f>
      </x:c>
      <x:c r="V22" s="28" t="str">
        <x:f>IF(OR('Project Schedule'!$G20="",'Project Schedule'!$H20=""),"",IF(AND(V$4&gt;='Project Schedule'!$G20,V$4&lt;='Project Schedule'!$H20),IF('Project Schedule'!$D20="Milestone","◆",IF('Project Schedule'!$D20="Phase Header","","■")),""))</x:f>
      </x:c>
      <x:c r="W22" s="28" t="str">
        <x:f>IF(OR('Project Schedule'!$G20="",'Project Schedule'!$H20=""),"",IF(AND(W$4&gt;='Project Schedule'!$G20,W$4&lt;='Project Schedule'!$H20),IF('Project Schedule'!$D20="Milestone","◆",IF('Project Schedule'!$D20="Phase Header","","■")),""))</x:f>
      </x:c>
      <x:c r="X22" s="28" t="str">
        <x:f>IF(OR('Project Schedule'!$G20="",'Project Schedule'!$H20=""),"",IF(AND(X$4&gt;='Project Schedule'!$G20,X$4&lt;='Project Schedule'!$H20),IF('Project Schedule'!$D20="Milestone","◆",IF('Project Schedule'!$D20="Phase Header","","■")),""))</x:f>
      </x:c>
      <x:c r="Y22" s="28" t="str">
        <x:f>IF(OR('Project Schedule'!$G20="",'Project Schedule'!$H20=""),"",IF(AND(Y$4&gt;='Project Schedule'!$G20,Y$4&lt;='Project Schedule'!$H20),IF('Project Schedule'!$D20="Milestone","◆",IF('Project Schedule'!$D20="Phase Header","","■")),""))</x:f>
      </x:c>
      <x:c r="Z22" s="28" t="str">
        <x:f>IF(OR('Project Schedule'!$G20="",'Project Schedule'!$H20=""),"",IF(AND(Z$4&gt;='Project Schedule'!$G20,Z$4&lt;='Project Schedule'!$H20),IF('Project Schedule'!$D20="Milestone","◆",IF('Project Schedule'!$D20="Phase Header","","■")),""))</x:f>
      </x:c>
      <x:c r="AA22" s="28" t="str">
        <x:f>IF(OR('Project Schedule'!$G20="",'Project Schedule'!$H20=""),"",IF(AND(AA$4&gt;='Project Schedule'!$G20,AA$4&lt;='Project Schedule'!$H20),IF('Project Schedule'!$D20="Milestone","◆",IF('Project Schedule'!$D20="Phase Header","","■")),""))</x:f>
      </x:c>
      <x:c r="AB22" s="28" t="str">
        <x:f>IF(OR('Project Schedule'!$G20="",'Project Schedule'!$H20=""),"",IF(AND(AB$4&gt;='Project Schedule'!$G20,AB$4&lt;='Project Schedule'!$H20),IF('Project Schedule'!$D20="Milestone","◆",IF('Project Schedule'!$D20="Phase Header","","■")),""))</x:f>
      </x:c>
      <x:c r="AC22" s="28" t="str">
        <x:f>IF(OR('Project Schedule'!$G20="",'Project Schedule'!$H20=""),"",IF(AND(AC$4&gt;='Project Schedule'!$G20,AC$4&lt;='Project Schedule'!$H20),IF('Project Schedule'!$D20="Milestone","◆",IF('Project Schedule'!$D20="Phase Header","","■")),""))</x:f>
      </x:c>
      <x:c r="AD22" s="28" t="str">
        <x:f>IF(OR('Project Schedule'!$G20="",'Project Schedule'!$H20=""),"",IF(AND(AD$4&gt;='Project Schedule'!$G20,AD$4&lt;='Project Schedule'!$H20),IF('Project Schedule'!$D20="Milestone","◆",IF('Project Schedule'!$D20="Phase Header","","■")),""))</x:f>
      </x:c>
      <x:c r="AE22" s="28" t="str">
        <x:f>IF(OR('Project Schedule'!$G20="",'Project Schedule'!$H20=""),"",IF(AND(AE$4&gt;='Project Schedule'!$G20,AE$4&lt;='Project Schedule'!$H20),IF('Project Schedule'!$D20="Milestone","◆",IF('Project Schedule'!$D20="Phase Header","","■")),""))</x:f>
      </x:c>
      <x:c r="AF22" s="28" t="str">
        <x:f>IF(OR('Project Schedule'!$G20="",'Project Schedule'!$H20=""),"",IF(AND(AF$4&gt;='Project Schedule'!$G20,AF$4&lt;='Project Schedule'!$H20),IF('Project Schedule'!$D20="Milestone","◆",IF('Project Schedule'!$D20="Phase Header","","■")),""))</x:f>
      </x:c>
      <x:c r="AG22" s="28" t="str">
        <x:f>IF(OR('Project Schedule'!$G20="",'Project Schedule'!$H20=""),"",IF(AND(AG$4&gt;='Project Schedule'!$G20,AG$4&lt;='Project Schedule'!$H20),IF('Project Schedule'!$D20="Milestone","◆",IF('Project Schedule'!$D20="Phase Header","","■")),""))</x:f>
      </x:c>
      <x:c r="AH22" s="28" t="str">
        <x:f>IF(OR('Project Schedule'!$G20="",'Project Schedule'!$H20=""),"",IF(AND(AH$4&gt;='Project Schedule'!$G20,AH$4&lt;='Project Schedule'!$H20),IF('Project Schedule'!$D20="Milestone","◆",IF('Project Schedule'!$D20="Phase Header","","■")),""))</x:f>
      </x:c>
      <x:c r="AI22" s="28" t="str">
        <x:f>IF(OR('Project Schedule'!$G20="",'Project Schedule'!$H20=""),"",IF(AND(AI$4&gt;='Project Schedule'!$G20,AI$4&lt;='Project Schedule'!$H20),IF('Project Schedule'!$D20="Milestone","◆",IF('Project Schedule'!$D20="Phase Header","","■")),""))</x:f>
      </x:c>
      <x:c r="AJ22" s="28" t="str">
        <x:f>IF(OR('Project Schedule'!$G20="",'Project Schedule'!$H20=""),"",IF(AND(AJ$4&gt;='Project Schedule'!$G20,AJ$4&lt;='Project Schedule'!$H20),IF('Project Schedule'!$D20="Milestone","◆",IF('Project Schedule'!$D20="Phase Header","","■")),""))</x:f>
      </x:c>
      <x:c r="AK22" s="28" t="str">
        <x:f>IF(OR('Project Schedule'!$G20="",'Project Schedule'!$H20=""),"",IF(AND(AK$4&gt;='Project Schedule'!$G20,AK$4&lt;='Project Schedule'!$H20),IF('Project Schedule'!$D20="Milestone","◆",IF('Project Schedule'!$D20="Phase Header","","■")),""))</x:f>
      </x:c>
      <x:c r="AL22" s="28" t="str">
        <x:f>IF(OR('Project Schedule'!$G20="",'Project Schedule'!$H20=""),"",IF(AND(AL$4&gt;='Project Schedule'!$G20,AL$4&lt;='Project Schedule'!$H20),IF('Project Schedule'!$D20="Milestone","◆",IF('Project Schedule'!$D20="Phase Header","","■")),""))</x:f>
      </x:c>
      <x:c r="AM22" s="28" t="str">
        <x:f>IF(OR('Project Schedule'!$G20="",'Project Schedule'!$H20=""),"",IF(AND(AM$4&gt;='Project Schedule'!$G20,AM$4&lt;='Project Schedule'!$H20),IF('Project Schedule'!$D20="Milestone","◆",IF('Project Schedule'!$D20="Phase Header","","■")),""))</x:f>
      </x:c>
      <x:c r="AN22" s="28" t="str">
        <x:f>IF(OR('Project Schedule'!$G20="",'Project Schedule'!$H20=""),"",IF(AND(AN$4&gt;='Project Schedule'!$G20,AN$4&lt;='Project Schedule'!$H20),IF('Project Schedule'!$D20="Milestone","◆",IF('Project Schedule'!$D20="Phase Header","","■")),""))</x:f>
      </x:c>
      <x:c r="AO22" s="28" t="str">
        <x:f>IF(OR('Project Schedule'!$G20="",'Project Schedule'!$H20=""),"",IF(AND(AO$4&gt;='Project Schedule'!$G20,AO$4&lt;='Project Schedule'!$H20),IF('Project Schedule'!$D20="Milestone","◆",IF('Project Schedule'!$D20="Phase Header","","■")),""))</x:f>
      </x:c>
      <x:c r="AP22" s="28" t="str">
        <x:f>IF(OR('Project Schedule'!$G20="",'Project Schedule'!$H20=""),"",IF(AND(AP$4&gt;='Project Schedule'!$G20,AP$4&lt;='Project Schedule'!$H20),IF('Project Schedule'!$D20="Milestone","◆",IF('Project Schedule'!$D20="Phase Header","","■")),""))</x:f>
      </x:c>
      <x:c r="AQ22" s="28" t="str">
        <x:f>IF(OR('Project Schedule'!$G20="",'Project Schedule'!$H20=""),"",IF(AND(AQ$4&gt;='Project Schedule'!$G20,AQ$4&lt;='Project Schedule'!$H20),IF('Project Schedule'!$D20="Milestone","◆",IF('Project Schedule'!$D20="Phase Header","","■")),""))</x:f>
      </x:c>
      <x:c r="AR22" s="28" t="str">
        <x:f>IF(OR('Project Schedule'!$G20="",'Project Schedule'!$H20=""),"",IF(AND(AR$4&gt;='Project Schedule'!$G20,AR$4&lt;='Project Schedule'!$H20),IF('Project Schedule'!$D20="Milestone","◆",IF('Project Schedule'!$D20="Phase Header","","■")),""))</x:f>
      </x:c>
    </x:row>
    <x:row r="23" ht="32" customHeight="1">
      <x:c r="A23" s="93" t="str">
        <x:f>'Project Schedule'!A21</x:f>
        <x:v>4.0</x:v>
      </x:c>
      <x:c r="B23" s="93" t="str">
        <x:f>'Project Schedule'!B21</x:f>
        <x:v>POST-LAUNCH SUPPORT AND HANDOFF</x:v>
      </x:c>
      <x:c r="C23" s="93" t="str">
        <x:f>'Project Schedule'!D21</x:f>
        <x:v>Phase Header</x:v>
      </x:c>
      <x:c r="D23" s="93" t="n">
        <x:f>'Project Schedule'!J21</x:f>
        <x:v>0</x:v>
      </x:c>
      <x:c r="E23" s="28" t="str">
        <x:f>IF(OR('Project Schedule'!$G21="",'Project Schedule'!$H21=""),"",IF(AND(E$4&gt;='Project Schedule'!$G21,E$4&lt;='Project Schedule'!$H21),IF('Project Schedule'!$D21="Milestone","◆",IF('Project Schedule'!$D21="Phase Header","","■")),""))</x:f>
      </x:c>
      <x:c r="F23" s="28" t="str">
        <x:f>IF(OR('Project Schedule'!$G21="",'Project Schedule'!$H21=""),"",IF(AND(F$4&gt;='Project Schedule'!$G21,F$4&lt;='Project Schedule'!$H21),IF('Project Schedule'!$D21="Milestone","◆",IF('Project Schedule'!$D21="Phase Header","","■")),""))</x:f>
      </x:c>
      <x:c r="G23" s="28" t="str">
        <x:f>IF(OR('Project Schedule'!$G21="",'Project Schedule'!$H21=""),"",IF(AND(G$4&gt;='Project Schedule'!$G21,G$4&lt;='Project Schedule'!$H21),IF('Project Schedule'!$D21="Milestone","◆",IF('Project Schedule'!$D21="Phase Header","","■")),""))</x:f>
      </x:c>
      <x:c r="H23" s="28" t="str">
        <x:f>IF(OR('Project Schedule'!$G21="",'Project Schedule'!$H21=""),"",IF(AND(H$4&gt;='Project Schedule'!$G21,H$4&lt;='Project Schedule'!$H21),IF('Project Schedule'!$D21="Milestone","◆",IF('Project Schedule'!$D21="Phase Header","","■")),""))</x:f>
      </x:c>
      <x:c r="I23" s="28" t="str">
        <x:f>IF(OR('Project Schedule'!$G21="",'Project Schedule'!$H21=""),"",IF(AND(I$4&gt;='Project Schedule'!$G21,I$4&lt;='Project Schedule'!$H21),IF('Project Schedule'!$D21="Milestone","◆",IF('Project Schedule'!$D21="Phase Header","","■")),""))</x:f>
      </x:c>
      <x:c r="J23" s="28" t="str">
        <x:f>IF(OR('Project Schedule'!$G21="",'Project Schedule'!$H21=""),"",IF(AND(J$4&gt;='Project Schedule'!$G21,J$4&lt;='Project Schedule'!$H21),IF('Project Schedule'!$D21="Milestone","◆",IF('Project Schedule'!$D21="Phase Header","","■")),""))</x:f>
      </x:c>
      <x:c r="K23" s="28" t="str">
        <x:f>IF(OR('Project Schedule'!$G21="",'Project Schedule'!$H21=""),"",IF(AND(K$4&gt;='Project Schedule'!$G21,K$4&lt;='Project Schedule'!$H21),IF('Project Schedule'!$D21="Milestone","◆",IF('Project Schedule'!$D21="Phase Header","","■")),""))</x:f>
      </x:c>
      <x:c r="L23" s="28" t="str">
        <x:f>IF(OR('Project Schedule'!$G21="",'Project Schedule'!$H21=""),"",IF(AND(L$4&gt;='Project Schedule'!$G21,L$4&lt;='Project Schedule'!$H21),IF('Project Schedule'!$D21="Milestone","◆",IF('Project Schedule'!$D21="Phase Header","","■")),""))</x:f>
      </x:c>
      <x:c r="M23" s="28" t="str">
        <x:f>IF(OR('Project Schedule'!$G21="",'Project Schedule'!$H21=""),"",IF(AND(M$4&gt;='Project Schedule'!$G21,M$4&lt;='Project Schedule'!$H21),IF('Project Schedule'!$D21="Milestone","◆",IF('Project Schedule'!$D21="Phase Header","","■")),""))</x:f>
      </x:c>
      <x:c r="N23" s="28" t="str">
        <x:f>IF(OR('Project Schedule'!$G21="",'Project Schedule'!$H21=""),"",IF(AND(N$4&gt;='Project Schedule'!$G21,N$4&lt;='Project Schedule'!$H21),IF('Project Schedule'!$D21="Milestone","◆",IF('Project Schedule'!$D21="Phase Header","","■")),""))</x:f>
      </x:c>
      <x:c r="O23" s="28" t="str">
        <x:f>IF(OR('Project Schedule'!$G21="",'Project Schedule'!$H21=""),"",IF(AND(O$4&gt;='Project Schedule'!$G21,O$4&lt;='Project Schedule'!$H21),IF('Project Schedule'!$D21="Milestone","◆",IF('Project Schedule'!$D21="Phase Header","","■")),""))</x:f>
      </x:c>
      <x:c r="P23" s="28" t="str">
        <x:f>IF(OR('Project Schedule'!$G21="",'Project Schedule'!$H21=""),"",IF(AND(P$4&gt;='Project Schedule'!$G21,P$4&lt;='Project Schedule'!$H21),IF('Project Schedule'!$D21="Milestone","◆",IF('Project Schedule'!$D21="Phase Header","","■")),""))</x:f>
      </x:c>
      <x:c r="Q23" s="28" t="str">
        <x:f>IF(OR('Project Schedule'!$G21="",'Project Schedule'!$H21=""),"",IF(AND(Q$4&gt;='Project Schedule'!$G21,Q$4&lt;='Project Schedule'!$H21),IF('Project Schedule'!$D21="Milestone","◆",IF('Project Schedule'!$D21="Phase Header","","■")),""))</x:f>
      </x:c>
      <x:c r="R23" s="28" t="str">
        <x:f>IF(OR('Project Schedule'!$G21="",'Project Schedule'!$H21=""),"",IF(AND(R$4&gt;='Project Schedule'!$G21,R$4&lt;='Project Schedule'!$H21),IF('Project Schedule'!$D21="Milestone","◆",IF('Project Schedule'!$D21="Phase Header","","■")),""))</x:f>
      </x:c>
      <x:c r="S23" s="28" t="str">
        <x:f>IF(OR('Project Schedule'!$G21="",'Project Schedule'!$H21=""),"",IF(AND(S$4&gt;='Project Schedule'!$G21,S$4&lt;='Project Schedule'!$H21),IF('Project Schedule'!$D21="Milestone","◆",IF('Project Schedule'!$D21="Phase Header","","■")),""))</x:f>
      </x:c>
      <x:c r="T23" s="28" t="str">
        <x:f>IF(OR('Project Schedule'!$G21="",'Project Schedule'!$H21=""),"",IF(AND(T$4&gt;='Project Schedule'!$G21,T$4&lt;='Project Schedule'!$H21),IF('Project Schedule'!$D21="Milestone","◆",IF('Project Schedule'!$D21="Phase Header","","■")),""))</x:f>
      </x:c>
      <x:c r="U23" s="28" t="str">
        <x:f>IF(OR('Project Schedule'!$G21="",'Project Schedule'!$H21=""),"",IF(AND(U$4&gt;='Project Schedule'!$G21,U$4&lt;='Project Schedule'!$H21),IF('Project Schedule'!$D21="Milestone","◆",IF('Project Schedule'!$D21="Phase Header","","■")),""))</x:f>
      </x:c>
      <x:c r="V23" s="28" t="str">
        <x:f>IF(OR('Project Schedule'!$G21="",'Project Schedule'!$H21=""),"",IF(AND(V$4&gt;='Project Schedule'!$G21,V$4&lt;='Project Schedule'!$H21),IF('Project Schedule'!$D21="Milestone","◆",IF('Project Schedule'!$D21="Phase Header","","■")),""))</x:f>
      </x:c>
      <x:c r="W23" s="28" t="str">
        <x:f>IF(OR('Project Schedule'!$G21="",'Project Schedule'!$H21=""),"",IF(AND(W$4&gt;='Project Schedule'!$G21,W$4&lt;='Project Schedule'!$H21),IF('Project Schedule'!$D21="Milestone","◆",IF('Project Schedule'!$D21="Phase Header","","■")),""))</x:f>
      </x:c>
      <x:c r="X23" s="28" t="str">
        <x:f>IF(OR('Project Schedule'!$G21="",'Project Schedule'!$H21=""),"",IF(AND(X$4&gt;='Project Schedule'!$G21,X$4&lt;='Project Schedule'!$H21),IF('Project Schedule'!$D21="Milestone","◆",IF('Project Schedule'!$D21="Phase Header","","■")),""))</x:f>
      </x:c>
      <x:c r="Y23" s="28" t="str">
        <x:f>IF(OR('Project Schedule'!$G21="",'Project Schedule'!$H21=""),"",IF(AND(Y$4&gt;='Project Schedule'!$G21,Y$4&lt;='Project Schedule'!$H21),IF('Project Schedule'!$D21="Milestone","◆",IF('Project Schedule'!$D21="Phase Header","","■")),""))</x:f>
      </x:c>
      <x:c r="Z23" s="28" t="str">
        <x:f>IF(OR('Project Schedule'!$G21="",'Project Schedule'!$H21=""),"",IF(AND(Z$4&gt;='Project Schedule'!$G21,Z$4&lt;='Project Schedule'!$H21),IF('Project Schedule'!$D21="Milestone","◆",IF('Project Schedule'!$D21="Phase Header","","■")),""))</x:f>
      </x:c>
      <x:c r="AA23" s="28" t="str">
        <x:f>IF(OR('Project Schedule'!$G21="",'Project Schedule'!$H21=""),"",IF(AND(AA$4&gt;='Project Schedule'!$G21,AA$4&lt;='Project Schedule'!$H21),IF('Project Schedule'!$D21="Milestone","◆",IF('Project Schedule'!$D21="Phase Header","","■")),""))</x:f>
      </x:c>
      <x:c r="AB23" s="28" t="str">
        <x:f>IF(OR('Project Schedule'!$G21="",'Project Schedule'!$H21=""),"",IF(AND(AB$4&gt;='Project Schedule'!$G21,AB$4&lt;='Project Schedule'!$H21),IF('Project Schedule'!$D21="Milestone","◆",IF('Project Schedule'!$D21="Phase Header","","■")),""))</x:f>
      </x:c>
      <x:c r="AC23" s="28" t="str">
        <x:f>IF(OR('Project Schedule'!$G21="",'Project Schedule'!$H21=""),"",IF(AND(AC$4&gt;='Project Schedule'!$G21,AC$4&lt;='Project Schedule'!$H21),IF('Project Schedule'!$D21="Milestone","◆",IF('Project Schedule'!$D21="Phase Header","","■")),""))</x:f>
      </x:c>
      <x:c r="AD23" s="28" t="str">
        <x:f>IF(OR('Project Schedule'!$G21="",'Project Schedule'!$H21=""),"",IF(AND(AD$4&gt;='Project Schedule'!$G21,AD$4&lt;='Project Schedule'!$H21),IF('Project Schedule'!$D21="Milestone","◆",IF('Project Schedule'!$D21="Phase Header","","■")),""))</x:f>
      </x:c>
      <x:c r="AE23" s="28" t="str">
        <x:f>IF(OR('Project Schedule'!$G21="",'Project Schedule'!$H21=""),"",IF(AND(AE$4&gt;='Project Schedule'!$G21,AE$4&lt;='Project Schedule'!$H21),IF('Project Schedule'!$D21="Milestone","◆",IF('Project Schedule'!$D21="Phase Header","","■")),""))</x:f>
      </x:c>
      <x:c r="AF23" s="28" t="str">
        <x:f>IF(OR('Project Schedule'!$G21="",'Project Schedule'!$H21=""),"",IF(AND(AF$4&gt;='Project Schedule'!$G21,AF$4&lt;='Project Schedule'!$H21),IF('Project Schedule'!$D21="Milestone","◆",IF('Project Schedule'!$D21="Phase Header","","■")),""))</x:f>
      </x:c>
      <x:c r="AG23" s="28" t="str">
        <x:f>IF(OR('Project Schedule'!$G21="",'Project Schedule'!$H21=""),"",IF(AND(AG$4&gt;='Project Schedule'!$G21,AG$4&lt;='Project Schedule'!$H21),IF('Project Schedule'!$D21="Milestone","◆",IF('Project Schedule'!$D21="Phase Header","","■")),""))</x:f>
      </x:c>
      <x:c r="AH23" s="28" t="str">
        <x:f>IF(OR('Project Schedule'!$G21="",'Project Schedule'!$H21=""),"",IF(AND(AH$4&gt;='Project Schedule'!$G21,AH$4&lt;='Project Schedule'!$H21),IF('Project Schedule'!$D21="Milestone","◆",IF('Project Schedule'!$D21="Phase Header","","■")),""))</x:f>
      </x:c>
      <x:c r="AI23" s="28" t="str">
        <x:f>IF(OR('Project Schedule'!$G21="",'Project Schedule'!$H21=""),"",IF(AND(AI$4&gt;='Project Schedule'!$G21,AI$4&lt;='Project Schedule'!$H21),IF('Project Schedule'!$D21="Milestone","◆",IF('Project Schedule'!$D21="Phase Header","","■")),""))</x:f>
      </x:c>
      <x:c r="AJ23" s="28" t="str">
        <x:f>IF(OR('Project Schedule'!$G21="",'Project Schedule'!$H21=""),"",IF(AND(AJ$4&gt;='Project Schedule'!$G21,AJ$4&lt;='Project Schedule'!$H21),IF('Project Schedule'!$D21="Milestone","◆",IF('Project Schedule'!$D21="Phase Header","","■")),""))</x:f>
      </x:c>
      <x:c r="AK23" s="28" t="str">
        <x:f>IF(OR('Project Schedule'!$G21="",'Project Schedule'!$H21=""),"",IF(AND(AK$4&gt;='Project Schedule'!$G21,AK$4&lt;='Project Schedule'!$H21),IF('Project Schedule'!$D21="Milestone","◆",IF('Project Schedule'!$D21="Phase Header","","■")),""))</x:f>
      </x:c>
      <x:c r="AL23" s="28" t="str">
        <x:f>IF(OR('Project Schedule'!$G21="",'Project Schedule'!$H21=""),"",IF(AND(AL$4&gt;='Project Schedule'!$G21,AL$4&lt;='Project Schedule'!$H21),IF('Project Schedule'!$D21="Milestone","◆",IF('Project Schedule'!$D21="Phase Header","","■")),""))</x:f>
      </x:c>
      <x:c r="AM23" s="28" t="str">
        <x:f>IF(OR('Project Schedule'!$G21="",'Project Schedule'!$H21=""),"",IF(AND(AM$4&gt;='Project Schedule'!$G21,AM$4&lt;='Project Schedule'!$H21),IF('Project Schedule'!$D21="Milestone","◆",IF('Project Schedule'!$D21="Phase Header","","■")),""))</x:f>
      </x:c>
      <x:c r="AN23" s="28" t="str">
        <x:f>IF(OR('Project Schedule'!$G21="",'Project Schedule'!$H21=""),"",IF(AND(AN$4&gt;='Project Schedule'!$G21,AN$4&lt;='Project Schedule'!$H21),IF('Project Schedule'!$D21="Milestone","◆",IF('Project Schedule'!$D21="Phase Header","","■")),""))</x:f>
      </x:c>
      <x:c r="AO23" s="28" t="str">
        <x:f>IF(OR('Project Schedule'!$G21="",'Project Schedule'!$H21=""),"",IF(AND(AO$4&gt;='Project Schedule'!$G21,AO$4&lt;='Project Schedule'!$H21),IF('Project Schedule'!$D21="Milestone","◆",IF('Project Schedule'!$D21="Phase Header","","■")),""))</x:f>
      </x:c>
      <x:c r="AP23" s="28" t="str">
        <x:f>IF(OR('Project Schedule'!$G21="",'Project Schedule'!$H21=""),"",IF(AND(AP$4&gt;='Project Schedule'!$G21,AP$4&lt;='Project Schedule'!$H21),IF('Project Schedule'!$D21="Milestone","◆",IF('Project Schedule'!$D21="Phase Header","","■")),""))</x:f>
      </x:c>
      <x:c r="AQ23" s="28" t="str">
        <x:f>IF(OR('Project Schedule'!$G21="",'Project Schedule'!$H21=""),"",IF(AND(AQ$4&gt;='Project Schedule'!$G21,AQ$4&lt;='Project Schedule'!$H21),IF('Project Schedule'!$D21="Milestone","◆",IF('Project Schedule'!$D21="Phase Header","","■")),""))</x:f>
      </x:c>
      <x:c r="AR23" s="28" t="str">
        <x:f>IF(OR('Project Schedule'!$G21="",'Project Schedule'!$H21=""),"",IF(AND(AR$4&gt;='Project Schedule'!$G21,AR$4&lt;='Project Schedule'!$H21),IF('Project Schedule'!$D21="Milestone","◆",IF('Project Schedule'!$D21="Phase Header","","■")),""))</x:f>
      </x:c>
    </x:row>
    <x:row r="24" ht="32" customHeight="1">
      <x:c r="A24" s="93" t="str">
        <x:f>'Project Schedule'!A22</x:f>
        <x:v>4.1</x:v>
      </x:c>
      <x:c r="B24" s="93" t="str">
        <x:f>'Project Schedule'!B22</x:f>
        <x:v>Provide 90-day rollout support</x:v>
      </x:c>
      <x:c r="C24" s="93" t="str">
        <x:f>'Project Schedule'!D22</x:f>
        <x:v>Task</x:v>
      </x:c>
      <x:c r="D24" s="93" t="str">
        <x:f>'Project Schedule'!J22</x:f>
        <x:v>YES</x:v>
      </x:c>
      <x:c r="E24" s="28" t="str">
        <x:f>IF(OR('Project Schedule'!$G22="",'Project Schedule'!$H22=""),"",IF(AND(E$4&gt;='Project Schedule'!$G22,E$4&lt;='Project Schedule'!$H22),IF('Project Schedule'!$D22="Milestone","◆",IF('Project Schedule'!$D22="Phase Header","","■")),""))</x:f>
      </x:c>
      <x:c r="F24" s="28" t="str">
        <x:f>IF(OR('Project Schedule'!$G22="",'Project Schedule'!$H22=""),"",IF(AND(F$4&gt;='Project Schedule'!$G22,F$4&lt;='Project Schedule'!$H22),IF('Project Schedule'!$D22="Milestone","◆",IF('Project Schedule'!$D22="Phase Header","","■")),""))</x:f>
      </x:c>
      <x:c r="G24" s="28" t="str">
        <x:f>IF(OR('Project Schedule'!$G22="",'Project Schedule'!$H22=""),"",IF(AND(G$4&gt;='Project Schedule'!$G22,G$4&lt;='Project Schedule'!$H22),IF('Project Schedule'!$D22="Milestone","◆",IF('Project Schedule'!$D22="Phase Header","","■")),""))</x:f>
      </x:c>
      <x:c r="H24" s="28" t="str">
        <x:f>IF(OR('Project Schedule'!$G22="",'Project Schedule'!$H22=""),"",IF(AND(H$4&gt;='Project Schedule'!$G22,H$4&lt;='Project Schedule'!$H22),IF('Project Schedule'!$D22="Milestone","◆",IF('Project Schedule'!$D22="Phase Header","","■")),""))</x:f>
      </x:c>
      <x:c r="I24" s="28" t="str">
        <x:f>IF(OR('Project Schedule'!$G22="",'Project Schedule'!$H22=""),"",IF(AND(I$4&gt;='Project Schedule'!$G22,I$4&lt;='Project Schedule'!$H22),IF('Project Schedule'!$D22="Milestone","◆",IF('Project Schedule'!$D22="Phase Header","","■")),""))</x:f>
      </x:c>
      <x:c r="J24" s="28" t="str">
        <x:f>IF(OR('Project Schedule'!$G22="",'Project Schedule'!$H22=""),"",IF(AND(J$4&gt;='Project Schedule'!$G22,J$4&lt;='Project Schedule'!$H22),IF('Project Schedule'!$D22="Milestone","◆",IF('Project Schedule'!$D22="Phase Header","","■")),""))</x:f>
      </x:c>
      <x:c r="K24" s="28" t="str">
        <x:f>IF(OR('Project Schedule'!$G22="",'Project Schedule'!$H22=""),"",IF(AND(K$4&gt;='Project Schedule'!$G22,K$4&lt;='Project Schedule'!$H22),IF('Project Schedule'!$D22="Milestone","◆",IF('Project Schedule'!$D22="Phase Header","","■")),""))</x:f>
      </x:c>
      <x:c r="L24" s="28" t="str">
        <x:f>IF(OR('Project Schedule'!$G22="",'Project Schedule'!$H22=""),"",IF(AND(L$4&gt;='Project Schedule'!$G22,L$4&lt;='Project Schedule'!$H22),IF('Project Schedule'!$D22="Milestone","◆",IF('Project Schedule'!$D22="Phase Header","","■")),""))</x:f>
      </x:c>
      <x:c r="M24" s="28" t="str">
        <x:f>IF(OR('Project Schedule'!$G22="",'Project Schedule'!$H22=""),"",IF(AND(M$4&gt;='Project Schedule'!$G22,M$4&lt;='Project Schedule'!$H22),IF('Project Schedule'!$D22="Milestone","◆",IF('Project Schedule'!$D22="Phase Header","","■")),""))</x:f>
      </x:c>
      <x:c r="N24" s="28" t="str">
        <x:f>IF(OR('Project Schedule'!$G22="",'Project Schedule'!$H22=""),"",IF(AND(N$4&gt;='Project Schedule'!$G22,N$4&lt;='Project Schedule'!$H22),IF('Project Schedule'!$D22="Milestone","◆",IF('Project Schedule'!$D22="Phase Header","","■")),""))</x:f>
      </x:c>
      <x:c r="O24" s="28" t="str">
        <x:f>IF(OR('Project Schedule'!$G22="",'Project Schedule'!$H22=""),"",IF(AND(O$4&gt;='Project Schedule'!$G22,O$4&lt;='Project Schedule'!$H22),IF('Project Schedule'!$D22="Milestone","◆",IF('Project Schedule'!$D22="Phase Header","","■")),""))</x:f>
      </x:c>
      <x:c r="P24" s="28" t="str">
        <x:f>IF(OR('Project Schedule'!$G22="",'Project Schedule'!$H22=""),"",IF(AND(P$4&gt;='Project Schedule'!$G22,P$4&lt;='Project Schedule'!$H22),IF('Project Schedule'!$D22="Milestone","◆",IF('Project Schedule'!$D22="Phase Header","","■")),""))</x:f>
      </x:c>
      <x:c r="Q24" s="28" t="str">
        <x:f>IF(OR('Project Schedule'!$G22="",'Project Schedule'!$H22=""),"",IF(AND(Q$4&gt;='Project Schedule'!$G22,Q$4&lt;='Project Schedule'!$H22),IF('Project Schedule'!$D22="Milestone","◆",IF('Project Schedule'!$D22="Phase Header","","■")),""))</x:f>
      </x:c>
      <x:c r="R24" s="28" t="str">
        <x:f>IF(OR('Project Schedule'!$G22="",'Project Schedule'!$H22=""),"",IF(AND(R$4&gt;='Project Schedule'!$G22,R$4&lt;='Project Schedule'!$H22),IF('Project Schedule'!$D22="Milestone","◆",IF('Project Schedule'!$D22="Phase Header","","■")),""))</x:f>
        <x:v>■</x:v>
      </x:c>
      <x:c r="S24" s="28" t="str">
        <x:f>IF(OR('Project Schedule'!$G22="",'Project Schedule'!$H22=""),"",IF(AND(S$4&gt;='Project Schedule'!$G22,S$4&lt;='Project Schedule'!$H22),IF('Project Schedule'!$D22="Milestone","◆",IF('Project Schedule'!$D22="Phase Header","","■")),""))</x:f>
        <x:v>■</x:v>
      </x:c>
      <x:c r="T24" s="28" t="str">
        <x:f>IF(OR('Project Schedule'!$G22="",'Project Schedule'!$H22=""),"",IF(AND(T$4&gt;='Project Schedule'!$G22,T$4&lt;='Project Schedule'!$H22),IF('Project Schedule'!$D22="Milestone","◆",IF('Project Schedule'!$D22="Phase Header","","■")),""))</x:f>
        <x:v>■</x:v>
      </x:c>
      <x:c r="U24" s="28" t="str">
        <x:f>IF(OR('Project Schedule'!$G22="",'Project Schedule'!$H22=""),"",IF(AND(U$4&gt;='Project Schedule'!$G22,U$4&lt;='Project Schedule'!$H22),IF('Project Schedule'!$D22="Milestone","◆",IF('Project Schedule'!$D22="Phase Header","","■")),""))</x:f>
        <x:v>■</x:v>
      </x:c>
      <x:c r="V24" s="28" t="str">
        <x:f>IF(OR('Project Schedule'!$G22="",'Project Schedule'!$H22=""),"",IF(AND(V$4&gt;='Project Schedule'!$G22,V$4&lt;='Project Schedule'!$H22),IF('Project Schedule'!$D22="Milestone","◆",IF('Project Schedule'!$D22="Phase Header","","■")),""))</x:f>
        <x:v>■</x:v>
      </x:c>
      <x:c r="W24" s="28" t="str">
        <x:f>IF(OR('Project Schedule'!$G22="",'Project Schedule'!$H22=""),"",IF(AND(W$4&gt;='Project Schedule'!$G22,W$4&lt;='Project Schedule'!$H22),IF('Project Schedule'!$D22="Milestone","◆",IF('Project Schedule'!$D22="Phase Header","","■")),""))</x:f>
        <x:v>■</x:v>
      </x:c>
      <x:c r="X24" s="28" t="str">
        <x:f>IF(OR('Project Schedule'!$G22="",'Project Schedule'!$H22=""),"",IF(AND(X$4&gt;='Project Schedule'!$G22,X$4&lt;='Project Schedule'!$H22),IF('Project Schedule'!$D22="Milestone","◆",IF('Project Schedule'!$D22="Phase Header","","■")),""))</x:f>
        <x:v>■</x:v>
      </x:c>
      <x:c r="Y24" s="28" t="str">
        <x:f>IF(OR('Project Schedule'!$G22="",'Project Schedule'!$H22=""),"",IF(AND(Y$4&gt;='Project Schedule'!$G22,Y$4&lt;='Project Schedule'!$H22),IF('Project Schedule'!$D22="Milestone","◆",IF('Project Schedule'!$D22="Phase Header","","■")),""))</x:f>
        <x:v>■</x:v>
      </x:c>
      <x:c r="Z24" s="28" t="str">
        <x:f>IF(OR('Project Schedule'!$G22="",'Project Schedule'!$H22=""),"",IF(AND(Z$4&gt;='Project Schedule'!$G22,Z$4&lt;='Project Schedule'!$H22),IF('Project Schedule'!$D22="Milestone","◆",IF('Project Schedule'!$D22="Phase Header","","■")),""))</x:f>
        <x:v>■</x:v>
      </x:c>
      <x:c r="AA24" s="28" t="str">
        <x:f>IF(OR('Project Schedule'!$G22="",'Project Schedule'!$H22=""),"",IF(AND(AA$4&gt;='Project Schedule'!$G22,AA$4&lt;='Project Schedule'!$H22),IF('Project Schedule'!$D22="Milestone","◆",IF('Project Schedule'!$D22="Phase Header","","■")),""))</x:f>
        <x:v>■</x:v>
      </x:c>
      <x:c r="AB24" s="28" t="str">
        <x:f>IF(OR('Project Schedule'!$G22="",'Project Schedule'!$H22=""),"",IF(AND(AB$4&gt;='Project Schedule'!$G22,AB$4&lt;='Project Schedule'!$H22),IF('Project Schedule'!$D22="Milestone","◆",IF('Project Schedule'!$D22="Phase Header","","■")),""))</x:f>
        <x:v>■</x:v>
      </x:c>
      <x:c r="AC24" s="28" t="str">
        <x:f>IF(OR('Project Schedule'!$G22="",'Project Schedule'!$H22=""),"",IF(AND(AC$4&gt;='Project Schedule'!$G22,AC$4&lt;='Project Schedule'!$H22),IF('Project Schedule'!$D22="Milestone","◆",IF('Project Schedule'!$D22="Phase Header","","■")),""))</x:f>
        <x:v>■</x:v>
      </x:c>
      <x:c r="AD24" s="28" t="str">
        <x:f>IF(OR('Project Schedule'!$G22="",'Project Schedule'!$H22=""),"",IF(AND(AD$4&gt;='Project Schedule'!$G22,AD$4&lt;='Project Schedule'!$H22),IF('Project Schedule'!$D22="Milestone","◆",IF('Project Schedule'!$D22="Phase Header","","■")),""))</x:f>
        <x:v>■</x:v>
      </x:c>
      <x:c r="AE24" s="28" t="str">
        <x:f>IF(OR('Project Schedule'!$G22="",'Project Schedule'!$H22=""),"",IF(AND(AE$4&gt;='Project Schedule'!$G22,AE$4&lt;='Project Schedule'!$H22),IF('Project Schedule'!$D22="Milestone","◆",IF('Project Schedule'!$D22="Phase Header","","■")),""))</x:f>
      </x:c>
      <x:c r="AF24" s="28" t="str">
        <x:f>IF(OR('Project Schedule'!$G22="",'Project Schedule'!$H22=""),"",IF(AND(AF$4&gt;='Project Schedule'!$G22,AF$4&lt;='Project Schedule'!$H22),IF('Project Schedule'!$D22="Milestone","◆",IF('Project Schedule'!$D22="Phase Header","","■")),""))</x:f>
      </x:c>
      <x:c r="AG24" s="28" t="str">
        <x:f>IF(OR('Project Schedule'!$G22="",'Project Schedule'!$H22=""),"",IF(AND(AG$4&gt;='Project Schedule'!$G22,AG$4&lt;='Project Schedule'!$H22),IF('Project Schedule'!$D22="Milestone","◆",IF('Project Schedule'!$D22="Phase Header","","■")),""))</x:f>
      </x:c>
      <x:c r="AH24" s="28" t="str">
        <x:f>IF(OR('Project Schedule'!$G22="",'Project Schedule'!$H22=""),"",IF(AND(AH$4&gt;='Project Schedule'!$G22,AH$4&lt;='Project Schedule'!$H22),IF('Project Schedule'!$D22="Milestone","◆",IF('Project Schedule'!$D22="Phase Header","","■")),""))</x:f>
      </x:c>
      <x:c r="AI24" s="28" t="str">
        <x:f>IF(OR('Project Schedule'!$G22="",'Project Schedule'!$H22=""),"",IF(AND(AI$4&gt;='Project Schedule'!$G22,AI$4&lt;='Project Schedule'!$H22),IF('Project Schedule'!$D22="Milestone","◆",IF('Project Schedule'!$D22="Phase Header","","■")),""))</x:f>
      </x:c>
      <x:c r="AJ24" s="28" t="str">
        <x:f>IF(OR('Project Schedule'!$G22="",'Project Schedule'!$H22=""),"",IF(AND(AJ$4&gt;='Project Schedule'!$G22,AJ$4&lt;='Project Schedule'!$H22),IF('Project Schedule'!$D22="Milestone","◆",IF('Project Schedule'!$D22="Phase Header","","■")),""))</x:f>
      </x:c>
      <x:c r="AK24" s="28" t="str">
        <x:f>IF(OR('Project Schedule'!$G22="",'Project Schedule'!$H22=""),"",IF(AND(AK$4&gt;='Project Schedule'!$G22,AK$4&lt;='Project Schedule'!$H22),IF('Project Schedule'!$D22="Milestone","◆",IF('Project Schedule'!$D22="Phase Header","","■")),""))</x:f>
      </x:c>
      <x:c r="AL24" s="28" t="str">
        <x:f>IF(OR('Project Schedule'!$G22="",'Project Schedule'!$H22=""),"",IF(AND(AL$4&gt;='Project Schedule'!$G22,AL$4&lt;='Project Schedule'!$H22),IF('Project Schedule'!$D22="Milestone","◆",IF('Project Schedule'!$D22="Phase Header","","■")),""))</x:f>
      </x:c>
      <x:c r="AM24" s="28" t="str">
        <x:f>IF(OR('Project Schedule'!$G22="",'Project Schedule'!$H22=""),"",IF(AND(AM$4&gt;='Project Schedule'!$G22,AM$4&lt;='Project Schedule'!$H22),IF('Project Schedule'!$D22="Milestone","◆",IF('Project Schedule'!$D22="Phase Header","","■")),""))</x:f>
      </x:c>
      <x:c r="AN24" s="28" t="str">
        <x:f>IF(OR('Project Schedule'!$G22="",'Project Schedule'!$H22=""),"",IF(AND(AN$4&gt;='Project Schedule'!$G22,AN$4&lt;='Project Schedule'!$H22),IF('Project Schedule'!$D22="Milestone","◆",IF('Project Schedule'!$D22="Phase Header","","■")),""))</x:f>
      </x:c>
      <x:c r="AO24" s="28" t="str">
        <x:f>IF(OR('Project Schedule'!$G22="",'Project Schedule'!$H22=""),"",IF(AND(AO$4&gt;='Project Schedule'!$G22,AO$4&lt;='Project Schedule'!$H22),IF('Project Schedule'!$D22="Milestone","◆",IF('Project Schedule'!$D22="Phase Header","","■")),""))</x:f>
      </x:c>
      <x:c r="AP24" s="28" t="str">
        <x:f>IF(OR('Project Schedule'!$G22="",'Project Schedule'!$H22=""),"",IF(AND(AP$4&gt;='Project Schedule'!$G22,AP$4&lt;='Project Schedule'!$H22),IF('Project Schedule'!$D22="Milestone","◆",IF('Project Schedule'!$D22="Phase Header","","■")),""))</x:f>
      </x:c>
      <x:c r="AQ24" s="28" t="str">
        <x:f>IF(OR('Project Schedule'!$G22="",'Project Schedule'!$H22=""),"",IF(AND(AQ$4&gt;='Project Schedule'!$G22,AQ$4&lt;='Project Schedule'!$H22),IF('Project Schedule'!$D22="Milestone","◆",IF('Project Schedule'!$D22="Phase Header","","■")),""))</x:f>
      </x:c>
      <x:c r="AR24" s="28" t="str">
        <x:f>IF(OR('Project Schedule'!$G22="",'Project Schedule'!$H22=""),"",IF(AND(AR$4&gt;='Project Schedule'!$G22,AR$4&lt;='Project Schedule'!$H22),IF('Project Schedule'!$D22="Milestone","◆",IF('Project Schedule'!$D22="Phase Header","","■")),""))</x:f>
      </x:c>
    </x:row>
    <x:row r="25" ht="32" customHeight="1">
      <x:c r="A25" s="93" t="str">
        <x:f>'Project Schedule'!A23</x:f>
        <x:v>4.2</x:v>
      </x:c>
      <x:c r="B25" s="93" t="str">
        <x:f>'Project Schedule'!B23</x:f>
        <x:v>Prepare operating guides and ownership transfer</x:v>
      </x:c>
      <x:c r="C25" s="93" t="str">
        <x:f>'Project Schedule'!D23</x:f>
        <x:v>Task</x:v>
      </x:c>
      <x:c r="D25" s="93" t="n">
        <x:f>'Project Schedule'!J23</x:f>
        <x:v>0</x:v>
      </x:c>
      <x:c r="E25" s="28" t="str">
        <x:f>IF(OR('Project Schedule'!$G23="",'Project Schedule'!$H23=""),"",IF(AND(E$4&gt;='Project Schedule'!$G23,E$4&lt;='Project Schedule'!$H23),IF('Project Schedule'!$D23="Milestone","◆",IF('Project Schedule'!$D23="Phase Header","","■")),""))</x:f>
      </x:c>
      <x:c r="F25" s="28" t="str">
        <x:f>IF(OR('Project Schedule'!$G23="",'Project Schedule'!$H23=""),"",IF(AND(F$4&gt;='Project Schedule'!$G23,F$4&lt;='Project Schedule'!$H23),IF('Project Schedule'!$D23="Milestone","◆",IF('Project Schedule'!$D23="Phase Header","","■")),""))</x:f>
      </x:c>
      <x:c r="G25" s="28" t="str">
        <x:f>IF(OR('Project Schedule'!$G23="",'Project Schedule'!$H23=""),"",IF(AND(G$4&gt;='Project Schedule'!$G23,G$4&lt;='Project Schedule'!$H23),IF('Project Schedule'!$D23="Milestone","◆",IF('Project Schedule'!$D23="Phase Header","","■")),""))</x:f>
      </x:c>
      <x:c r="H25" s="28" t="str">
        <x:f>IF(OR('Project Schedule'!$G23="",'Project Schedule'!$H23=""),"",IF(AND(H$4&gt;='Project Schedule'!$G23,H$4&lt;='Project Schedule'!$H23),IF('Project Schedule'!$D23="Milestone","◆",IF('Project Schedule'!$D23="Phase Header","","■")),""))</x:f>
      </x:c>
      <x:c r="I25" s="28" t="str">
        <x:f>IF(OR('Project Schedule'!$G23="",'Project Schedule'!$H23=""),"",IF(AND(I$4&gt;='Project Schedule'!$G23,I$4&lt;='Project Schedule'!$H23),IF('Project Schedule'!$D23="Milestone","◆",IF('Project Schedule'!$D23="Phase Header","","■")),""))</x:f>
      </x:c>
      <x:c r="J25" s="28" t="str">
        <x:f>IF(OR('Project Schedule'!$G23="",'Project Schedule'!$H23=""),"",IF(AND(J$4&gt;='Project Schedule'!$G23,J$4&lt;='Project Schedule'!$H23),IF('Project Schedule'!$D23="Milestone","◆",IF('Project Schedule'!$D23="Phase Header","","■")),""))</x:f>
      </x:c>
      <x:c r="K25" s="28" t="str">
        <x:f>IF(OR('Project Schedule'!$G23="",'Project Schedule'!$H23=""),"",IF(AND(K$4&gt;='Project Schedule'!$G23,K$4&lt;='Project Schedule'!$H23),IF('Project Schedule'!$D23="Milestone","◆",IF('Project Schedule'!$D23="Phase Header","","■")),""))</x:f>
      </x:c>
      <x:c r="L25" s="28" t="str">
        <x:f>IF(OR('Project Schedule'!$G23="",'Project Schedule'!$H23=""),"",IF(AND(L$4&gt;='Project Schedule'!$G23,L$4&lt;='Project Schedule'!$H23),IF('Project Schedule'!$D23="Milestone","◆",IF('Project Schedule'!$D23="Phase Header","","■")),""))</x:f>
      </x:c>
      <x:c r="M25" s="28" t="str">
        <x:f>IF(OR('Project Schedule'!$G23="",'Project Schedule'!$H23=""),"",IF(AND(M$4&gt;='Project Schedule'!$G23,M$4&lt;='Project Schedule'!$H23),IF('Project Schedule'!$D23="Milestone","◆",IF('Project Schedule'!$D23="Phase Header","","■")),""))</x:f>
      </x:c>
      <x:c r="N25" s="28" t="str">
        <x:f>IF(OR('Project Schedule'!$G23="",'Project Schedule'!$H23=""),"",IF(AND(N$4&gt;='Project Schedule'!$G23,N$4&lt;='Project Schedule'!$H23),IF('Project Schedule'!$D23="Milestone","◆",IF('Project Schedule'!$D23="Phase Header","","■")),""))</x:f>
      </x:c>
      <x:c r="O25" s="28" t="str">
        <x:f>IF(OR('Project Schedule'!$G23="",'Project Schedule'!$H23=""),"",IF(AND(O$4&gt;='Project Schedule'!$G23,O$4&lt;='Project Schedule'!$H23),IF('Project Schedule'!$D23="Milestone","◆",IF('Project Schedule'!$D23="Phase Header","","■")),""))</x:f>
      </x:c>
      <x:c r="P25" s="28" t="str">
        <x:f>IF(OR('Project Schedule'!$G23="",'Project Schedule'!$H23=""),"",IF(AND(P$4&gt;='Project Schedule'!$G23,P$4&lt;='Project Schedule'!$H23),IF('Project Schedule'!$D23="Milestone","◆",IF('Project Schedule'!$D23="Phase Header","","■")),""))</x:f>
      </x:c>
      <x:c r="Q25" s="28" t="str">
        <x:f>IF(OR('Project Schedule'!$G23="",'Project Schedule'!$H23=""),"",IF(AND(Q$4&gt;='Project Schedule'!$G23,Q$4&lt;='Project Schedule'!$H23),IF('Project Schedule'!$D23="Milestone","◆",IF('Project Schedule'!$D23="Phase Header","","■")),""))</x:f>
      </x:c>
      <x:c r="R25" s="28" t="str">
        <x:f>IF(OR('Project Schedule'!$G23="",'Project Schedule'!$H23=""),"",IF(AND(R$4&gt;='Project Schedule'!$G23,R$4&lt;='Project Schedule'!$H23),IF('Project Schedule'!$D23="Milestone","◆",IF('Project Schedule'!$D23="Phase Header","","■")),""))</x:f>
      </x:c>
      <x:c r="S25" s="28" t="str">
        <x:f>IF(OR('Project Schedule'!$G23="",'Project Schedule'!$H23=""),"",IF(AND(S$4&gt;='Project Schedule'!$G23,S$4&lt;='Project Schedule'!$H23),IF('Project Schedule'!$D23="Milestone","◆",IF('Project Schedule'!$D23="Phase Header","","■")),""))</x:f>
      </x:c>
      <x:c r="T25" s="28" t="str">
        <x:f>IF(OR('Project Schedule'!$G23="",'Project Schedule'!$H23=""),"",IF(AND(T$4&gt;='Project Schedule'!$G23,T$4&lt;='Project Schedule'!$H23),IF('Project Schedule'!$D23="Milestone","◆",IF('Project Schedule'!$D23="Phase Header","","■")),""))</x:f>
      </x:c>
      <x:c r="U25" s="28" t="str">
        <x:f>IF(OR('Project Schedule'!$G23="",'Project Schedule'!$H23=""),"",IF(AND(U$4&gt;='Project Schedule'!$G23,U$4&lt;='Project Schedule'!$H23),IF('Project Schedule'!$D23="Milestone","◆",IF('Project Schedule'!$D23="Phase Header","","■")),""))</x:f>
      </x:c>
      <x:c r="V25" s="28" t="str">
        <x:f>IF(OR('Project Schedule'!$G23="",'Project Schedule'!$H23=""),"",IF(AND(V$4&gt;='Project Schedule'!$G23,V$4&lt;='Project Schedule'!$H23),IF('Project Schedule'!$D23="Milestone","◆",IF('Project Schedule'!$D23="Phase Header","","■")),""))</x:f>
      </x:c>
      <x:c r="W25" s="28" t="str">
        <x:f>IF(OR('Project Schedule'!$G23="",'Project Schedule'!$H23=""),"",IF(AND(W$4&gt;='Project Schedule'!$G23,W$4&lt;='Project Schedule'!$H23),IF('Project Schedule'!$D23="Milestone","◆",IF('Project Schedule'!$D23="Phase Header","","■")),""))</x:f>
      </x:c>
      <x:c r="X25" s="28" t="str">
        <x:f>IF(OR('Project Schedule'!$G23="",'Project Schedule'!$H23=""),"",IF(AND(X$4&gt;='Project Schedule'!$G23,X$4&lt;='Project Schedule'!$H23),IF('Project Schedule'!$D23="Milestone","◆",IF('Project Schedule'!$D23="Phase Header","","■")),""))</x:f>
      </x:c>
      <x:c r="Y25" s="28" t="str">
        <x:f>IF(OR('Project Schedule'!$G23="",'Project Schedule'!$H23=""),"",IF(AND(Y$4&gt;='Project Schedule'!$G23,Y$4&lt;='Project Schedule'!$H23),IF('Project Schedule'!$D23="Milestone","◆",IF('Project Schedule'!$D23="Phase Header","","■")),""))</x:f>
      </x:c>
      <x:c r="Z25" s="28" t="str">
        <x:f>IF(OR('Project Schedule'!$G23="",'Project Schedule'!$H23=""),"",IF(AND(Z$4&gt;='Project Schedule'!$G23,Z$4&lt;='Project Schedule'!$H23),IF('Project Schedule'!$D23="Milestone","◆",IF('Project Schedule'!$D23="Phase Header","","■")),""))</x:f>
      </x:c>
      <x:c r="AA25" s="28" t="str">
        <x:f>IF(OR('Project Schedule'!$G23="",'Project Schedule'!$H23=""),"",IF(AND(AA$4&gt;='Project Schedule'!$G23,AA$4&lt;='Project Schedule'!$H23),IF('Project Schedule'!$D23="Milestone","◆",IF('Project Schedule'!$D23="Phase Header","","■")),""))</x:f>
      </x:c>
      <x:c r="AB25" s="28" t="str">
        <x:f>IF(OR('Project Schedule'!$G23="",'Project Schedule'!$H23=""),"",IF(AND(AB$4&gt;='Project Schedule'!$G23,AB$4&lt;='Project Schedule'!$H23),IF('Project Schedule'!$D23="Milestone","◆",IF('Project Schedule'!$D23="Phase Header","","■")),""))</x:f>
      </x:c>
      <x:c r="AC25" s="28" t="str">
        <x:f>IF(OR('Project Schedule'!$G23="",'Project Schedule'!$H23=""),"",IF(AND(AC$4&gt;='Project Schedule'!$G23,AC$4&lt;='Project Schedule'!$H23),IF('Project Schedule'!$D23="Milestone","◆",IF('Project Schedule'!$D23="Phase Header","","■")),""))</x:f>
        <x:v>■</x:v>
      </x:c>
      <x:c r="AD25" s="28" t="str">
        <x:f>IF(OR('Project Schedule'!$G23="",'Project Schedule'!$H23=""),"",IF(AND(AD$4&gt;='Project Schedule'!$G23,AD$4&lt;='Project Schedule'!$H23),IF('Project Schedule'!$D23="Milestone","◆",IF('Project Schedule'!$D23="Phase Header","","■")),""))</x:f>
        <x:v>■</x:v>
      </x:c>
      <x:c r="AE25" s="28" t="str">
        <x:f>IF(OR('Project Schedule'!$G23="",'Project Schedule'!$H23=""),"",IF(AND(AE$4&gt;='Project Schedule'!$G23,AE$4&lt;='Project Schedule'!$H23),IF('Project Schedule'!$D23="Milestone","◆",IF('Project Schedule'!$D23="Phase Header","","■")),""))</x:f>
      </x:c>
      <x:c r="AF25" s="28" t="str">
        <x:f>IF(OR('Project Schedule'!$G23="",'Project Schedule'!$H23=""),"",IF(AND(AF$4&gt;='Project Schedule'!$G23,AF$4&lt;='Project Schedule'!$H23),IF('Project Schedule'!$D23="Milestone","◆",IF('Project Schedule'!$D23="Phase Header","","■")),""))</x:f>
      </x:c>
      <x:c r="AG25" s="28" t="str">
        <x:f>IF(OR('Project Schedule'!$G23="",'Project Schedule'!$H23=""),"",IF(AND(AG$4&gt;='Project Schedule'!$G23,AG$4&lt;='Project Schedule'!$H23),IF('Project Schedule'!$D23="Milestone","◆",IF('Project Schedule'!$D23="Phase Header","","■")),""))</x:f>
      </x:c>
      <x:c r="AH25" s="28" t="str">
        <x:f>IF(OR('Project Schedule'!$G23="",'Project Schedule'!$H23=""),"",IF(AND(AH$4&gt;='Project Schedule'!$G23,AH$4&lt;='Project Schedule'!$H23),IF('Project Schedule'!$D23="Milestone","◆",IF('Project Schedule'!$D23="Phase Header","","■")),""))</x:f>
      </x:c>
      <x:c r="AI25" s="28" t="str">
        <x:f>IF(OR('Project Schedule'!$G23="",'Project Schedule'!$H23=""),"",IF(AND(AI$4&gt;='Project Schedule'!$G23,AI$4&lt;='Project Schedule'!$H23),IF('Project Schedule'!$D23="Milestone","◆",IF('Project Schedule'!$D23="Phase Header","","■")),""))</x:f>
      </x:c>
      <x:c r="AJ25" s="28" t="str">
        <x:f>IF(OR('Project Schedule'!$G23="",'Project Schedule'!$H23=""),"",IF(AND(AJ$4&gt;='Project Schedule'!$G23,AJ$4&lt;='Project Schedule'!$H23),IF('Project Schedule'!$D23="Milestone","◆",IF('Project Schedule'!$D23="Phase Header","","■")),""))</x:f>
      </x:c>
      <x:c r="AK25" s="28" t="str">
        <x:f>IF(OR('Project Schedule'!$G23="",'Project Schedule'!$H23=""),"",IF(AND(AK$4&gt;='Project Schedule'!$G23,AK$4&lt;='Project Schedule'!$H23),IF('Project Schedule'!$D23="Milestone","◆",IF('Project Schedule'!$D23="Phase Header","","■")),""))</x:f>
      </x:c>
      <x:c r="AL25" s="28" t="str">
        <x:f>IF(OR('Project Schedule'!$G23="",'Project Schedule'!$H23=""),"",IF(AND(AL$4&gt;='Project Schedule'!$G23,AL$4&lt;='Project Schedule'!$H23),IF('Project Schedule'!$D23="Milestone","◆",IF('Project Schedule'!$D23="Phase Header","","■")),""))</x:f>
      </x:c>
      <x:c r="AM25" s="28" t="str">
        <x:f>IF(OR('Project Schedule'!$G23="",'Project Schedule'!$H23=""),"",IF(AND(AM$4&gt;='Project Schedule'!$G23,AM$4&lt;='Project Schedule'!$H23),IF('Project Schedule'!$D23="Milestone","◆",IF('Project Schedule'!$D23="Phase Header","","■")),""))</x:f>
      </x:c>
      <x:c r="AN25" s="28" t="str">
        <x:f>IF(OR('Project Schedule'!$G23="",'Project Schedule'!$H23=""),"",IF(AND(AN$4&gt;='Project Schedule'!$G23,AN$4&lt;='Project Schedule'!$H23),IF('Project Schedule'!$D23="Milestone","◆",IF('Project Schedule'!$D23="Phase Header","","■")),""))</x:f>
      </x:c>
      <x:c r="AO25" s="28" t="str">
        <x:f>IF(OR('Project Schedule'!$G23="",'Project Schedule'!$H23=""),"",IF(AND(AO$4&gt;='Project Schedule'!$G23,AO$4&lt;='Project Schedule'!$H23),IF('Project Schedule'!$D23="Milestone","◆",IF('Project Schedule'!$D23="Phase Header","","■")),""))</x:f>
      </x:c>
      <x:c r="AP25" s="28" t="str">
        <x:f>IF(OR('Project Schedule'!$G23="",'Project Schedule'!$H23=""),"",IF(AND(AP$4&gt;='Project Schedule'!$G23,AP$4&lt;='Project Schedule'!$H23),IF('Project Schedule'!$D23="Milestone","◆",IF('Project Schedule'!$D23="Phase Header","","■")),""))</x:f>
      </x:c>
      <x:c r="AQ25" s="28" t="str">
        <x:f>IF(OR('Project Schedule'!$G23="",'Project Schedule'!$H23=""),"",IF(AND(AQ$4&gt;='Project Schedule'!$G23,AQ$4&lt;='Project Schedule'!$H23),IF('Project Schedule'!$D23="Milestone","◆",IF('Project Schedule'!$D23="Phase Header","","■")),""))</x:f>
      </x:c>
      <x:c r="AR25" s="28" t="str">
        <x:f>IF(OR('Project Schedule'!$G23="",'Project Schedule'!$H23=""),"",IF(AND(AR$4&gt;='Project Schedule'!$G23,AR$4&lt;='Project Schedule'!$H23),IF('Project Schedule'!$D23="Milestone","◆",IF('Project Schedule'!$D23="Phase Header","","■")),""))</x:f>
      </x:c>
    </x:row>
    <x:row r="26" ht="32" customHeight="1">
      <x:c r="A26" s="93" t="str">
        <x:f>'Project Schedule'!A24</x:f>
        <x:v>4.3.1</x:v>
      </x:c>
      <x:c r="B26" s="93" t="str">
        <x:f>'Project Schedule'!B24</x:f>
        <x:v>Document lessons learned and closure evidence</x:v>
      </x:c>
      <x:c r="C26" s="93" t="str">
        <x:f>'Project Schedule'!D24</x:f>
        <x:v>Task</x:v>
      </x:c>
      <x:c r="D26" s="93" t="n">
        <x:f>'Project Schedule'!J24</x:f>
        <x:v>0</x:v>
      </x:c>
      <x:c r="E26" s="28" t="str">
        <x:f>IF(OR('Project Schedule'!$G24="",'Project Schedule'!$H24=""),"",IF(AND(E$4&gt;='Project Schedule'!$G24,E$4&lt;='Project Schedule'!$H24),IF('Project Schedule'!$D24="Milestone","◆",IF('Project Schedule'!$D24="Phase Header","","■")),""))</x:f>
      </x:c>
      <x:c r="F26" s="28" t="str">
        <x:f>IF(OR('Project Schedule'!$G24="",'Project Schedule'!$H24=""),"",IF(AND(F$4&gt;='Project Schedule'!$G24,F$4&lt;='Project Schedule'!$H24),IF('Project Schedule'!$D24="Milestone","◆",IF('Project Schedule'!$D24="Phase Header","","■")),""))</x:f>
      </x:c>
      <x:c r="G26" s="28" t="str">
        <x:f>IF(OR('Project Schedule'!$G24="",'Project Schedule'!$H24=""),"",IF(AND(G$4&gt;='Project Schedule'!$G24,G$4&lt;='Project Schedule'!$H24),IF('Project Schedule'!$D24="Milestone","◆",IF('Project Schedule'!$D24="Phase Header","","■")),""))</x:f>
      </x:c>
      <x:c r="H26" s="28" t="str">
        <x:f>IF(OR('Project Schedule'!$G24="",'Project Schedule'!$H24=""),"",IF(AND(H$4&gt;='Project Schedule'!$G24,H$4&lt;='Project Schedule'!$H24),IF('Project Schedule'!$D24="Milestone","◆",IF('Project Schedule'!$D24="Phase Header","","■")),""))</x:f>
      </x:c>
      <x:c r="I26" s="28" t="str">
        <x:f>IF(OR('Project Schedule'!$G24="",'Project Schedule'!$H24=""),"",IF(AND(I$4&gt;='Project Schedule'!$G24,I$4&lt;='Project Schedule'!$H24),IF('Project Schedule'!$D24="Milestone","◆",IF('Project Schedule'!$D24="Phase Header","","■")),""))</x:f>
      </x:c>
      <x:c r="J26" s="28" t="str">
        <x:f>IF(OR('Project Schedule'!$G24="",'Project Schedule'!$H24=""),"",IF(AND(J$4&gt;='Project Schedule'!$G24,J$4&lt;='Project Schedule'!$H24),IF('Project Schedule'!$D24="Milestone","◆",IF('Project Schedule'!$D24="Phase Header","","■")),""))</x:f>
      </x:c>
      <x:c r="K26" s="28" t="str">
        <x:f>IF(OR('Project Schedule'!$G24="",'Project Schedule'!$H24=""),"",IF(AND(K$4&gt;='Project Schedule'!$G24,K$4&lt;='Project Schedule'!$H24),IF('Project Schedule'!$D24="Milestone","◆",IF('Project Schedule'!$D24="Phase Header","","■")),""))</x:f>
      </x:c>
      <x:c r="L26" s="28" t="str">
        <x:f>IF(OR('Project Schedule'!$G24="",'Project Schedule'!$H24=""),"",IF(AND(L$4&gt;='Project Schedule'!$G24,L$4&lt;='Project Schedule'!$H24),IF('Project Schedule'!$D24="Milestone","◆",IF('Project Schedule'!$D24="Phase Header","","■")),""))</x:f>
      </x:c>
      <x:c r="M26" s="28" t="str">
        <x:f>IF(OR('Project Schedule'!$G24="",'Project Schedule'!$H24=""),"",IF(AND(M$4&gt;='Project Schedule'!$G24,M$4&lt;='Project Schedule'!$H24),IF('Project Schedule'!$D24="Milestone","◆",IF('Project Schedule'!$D24="Phase Header","","■")),""))</x:f>
      </x:c>
      <x:c r="N26" s="28" t="str">
        <x:f>IF(OR('Project Schedule'!$G24="",'Project Schedule'!$H24=""),"",IF(AND(N$4&gt;='Project Schedule'!$G24,N$4&lt;='Project Schedule'!$H24),IF('Project Schedule'!$D24="Milestone","◆",IF('Project Schedule'!$D24="Phase Header","","■")),""))</x:f>
      </x:c>
      <x:c r="O26" s="28" t="str">
        <x:f>IF(OR('Project Schedule'!$G24="",'Project Schedule'!$H24=""),"",IF(AND(O$4&gt;='Project Schedule'!$G24,O$4&lt;='Project Schedule'!$H24),IF('Project Schedule'!$D24="Milestone","◆",IF('Project Schedule'!$D24="Phase Header","","■")),""))</x:f>
      </x:c>
      <x:c r="P26" s="28" t="str">
        <x:f>IF(OR('Project Schedule'!$G24="",'Project Schedule'!$H24=""),"",IF(AND(P$4&gt;='Project Schedule'!$G24,P$4&lt;='Project Schedule'!$H24),IF('Project Schedule'!$D24="Milestone","◆",IF('Project Schedule'!$D24="Phase Header","","■")),""))</x:f>
      </x:c>
      <x:c r="Q26" s="28" t="str">
        <x:f>IF(OR('Project Schedule'!$G24="",'Project Schedule'!$H24=""),"",IF(AND(Q$4&gt;='Project Schedule'!$G24,Q$4&lt;='Project Schedule'!$H24),IF('Project Schedule'!$D24="Milestone","◆",IF('Project Schedule'!$D24="Phase Header","","■")),""))</x:f>
      </x:c>
      <x:c r="R26" s="28" t="str">
        <x:f>IF(OR('Project Schedule'!$G24="",'Project Schedule'!$H24=""),"",IF(AND(R$4&gt;='Project Schedule'!$G24,R$4&lt;='Project Schedule'!$H24),IF('Project Schedule'!$D24="Milestone","◆",IF('Project Schedule'!$D24="Phase Header","","■")),""))</x:f>
      </x:c>
      <x:c r="S26" s="28" t="str">
        <x:f>IF(OR('Project Schedule'!$G24="",'Project Schedule'!$H24=""),"",IF(AND(S$4&gt;='Project Schedule'!$G24,S$4&lt;='Project Schedule'!$H24),IF('Project Schedule'!$D24="Milestone","◆",IF('Project Schedule'!$D24="Phase Header","","■")),""))</x:f>
      </x:c>
      <x:c r="T26" s="28" t="str">
        <x:f>IF(OR('Project Schedule'!$G24="",'Project Schedule'!$H24=""),"",IF(AND(T$4&gt;='Project Schedule'!$G24,T$4&lt;='Project Schedule'!$H24),IF('Project Schedule'!$D24="Milestone","◆",IF('Project Schedule'!$D24="Phase Header","","■")),""))</x:f>
      </x:c>
      <x:c r="U26" s="28" t="str">
        <x:f>IF(OR('Project Schedule'!$G24="",'Project Schedule'!$H24=""),"",IF(AND(U$4&gt;='Project Schedule'!$G24,U$4&lt;='Project Schedule'!$H24),IF('Project Schedule'!$D24="Milestone","◆",IF('Project Schedule'!$D24="Phase Header","","■")),""))</x:f>
      </x:c>
      <x:c r="V26" s="28" t="str">
        <x:f>IF(OR('Project Schedule'!$G24="",'Project Schedule'!$H24=""),"",IF(AND(V$4&gt;='Project Schedule'!$G24,V$4&lt;='Project Schedule'!$H24),IF('Project Schedule'!$D24="Milestone","◆",IF('Project Schedule'!$D24="Phase Header","","■")),""))</x:f>
      </x:c>
      <x:c r="W26" s="28" t="str">
        <x:f>IF(OR('Project Schedule'!$G24="",'Project Schedule'!$H24=""),"",IF(AND(W$4&gt;='Project Schedule'!$G24,W$4&lt;='Project Schedule'!$H24),IF('Project Schedule'!$D24="Milestone","◆",IF('Project Schedule'!$D24="Phase Header","","■")),""))</x:f>
      </x:c>
      <x:c r="X26" s="28" t="str">
        <x:f>IF(OR('Project Schedule'!$G24="",'Project Schedule'!$H24=""),"",IF(AND(X$4&gt;='Project Schedule'!$G24,X$4&lt;='Project Schedule'!$H24),IF('Project Schedule'!$D24="Milestone","◆",IF('Project Schedule'!$D24="Phase Header","","■")),""))</x:f>
      </x:c>
      <x:c r="Y26" s="28" t="str">
        <x:f>IF(OR('Project Schedule'!$G24="",'Project Schedule'!$H24=""),"",IF(AND(Y$4&gt;='Project Schedule'!$G24,Y$4&lt;='Project Schedule'!$H24),IF('Project Schedule'!$D24="Milestone","◆",IF('Project Schedule'!$D24="Phase Header","","■")),""))</x:f>
      </x:c>
      <x:c r="Z26" s="28" t="str">
        <x:f>IF(OR('Project Schedule'!$G24="",'Project Schedule'!$H24=""),"",IF(AND(Z$4&gt;='Project Schedule'!$G24,Z$4&lt;='Project Schedule'!$H24),IF('Project Schedule'!$D24="Milestone","◆",IF('Project Schedule'!$D24="Phase Header","","■")),""))</x:f>
      </x:c>
      <x:c r="AA26" s="28" t="str">
        <x:f>IF(OR('Project Schedule'!$G24="",'Project Schedule'!$H24=""),"",IF(AND(AA$4&gt;='Project Schedule'!$G24,AA$4&lt;='Project Schedule'!$H24),IF('Project Schedule'!$D24="Milestone","◆",IF('Project Schedule'!$D24="Phase Header","","■")),""))</x:f>
      </x:c>
      <x:c r="AB26" s="28" t="str">
        <x:f>IF(OR('Project Schedule'!$G24="",'Project Schedule'!$H24=""),"",IF(AND(AB$4&gt;='Project Schedule'!$G24,AB$4&lt;='Project Schedule'!$H24),IF('Project Schedule'!$D24="Milestone","◆",IF('Project Schedule'!$D24="Phase Header","","■")),""))</x:f>
      </x:c>
      <x:c r="AC26" s="28" t="str">
        <x:f>IF(OR('Project Schedule'!$G24="",'Project Schedule'!$H24=""),"",IF(AND(AC$4&gt;='Project Schedule'!$G24,AC$4&lt;='Project Schedule'!$H24),IF('Project Schedule'!$D24="Milestone","◆",IF('Project Schedule'!$D24="Phase Header","","■")),""))</x:f>
        <x:v>■</x:v>
      </x:c>
      <x:c r="AD26" s="28" t="str">
        <x:f>IF(OR('Project Schedule'!$G24="",'Project Schedule'!$H24=""),"",IF(AND(AD$4&gt;='Project Schedule'!$G24,AD$4&lt;='Project Schedule'!$H24),IF('Project Schedule'!$D24="Milestone","◆",IF('Project Schedule'!$D24="Phase Header","","■")),""))</x:f>
        <x:v>■</x:v>
      </x:c>
      <x:c r="AE26" s="28" t="str">
        <x:f>IF(OR('Project Schedule'!$G24="",'Project Schedule'!$H24=""),"",IF(AND(AE$4&gt;='Project Schedule'!$G24,AE$4&lt;='Project Schedule'!$H24),IF('Project Schedule'!$D24="Milestone","◆",IF('Project Schedule'!$D24="Phase Header","","■")),""))</x:f>
      </x:c>
      <x:c r="AF26" s="28" t="str">
        <x:f>IF(OR('Project Schedule'!$G24="",'Project Schedule'!$H24=""),"",IF(AND(AF$4&gt;='Project Schedule'!$G24,AF$4&lt;='Project Schedule'!$H24),IF('Project Schedule'!$D24="Milestone","◆",IF('Project Schedule'!$D24="Phase Header","","■")),""))</x:f>
      </x:c>
      <x:c r="AG26" s="28" t="str">
        <x:f>IF(OR('Project Schedule'!$G24="",'Project Schedule'!$H24=""),"",IF(AND(AG$4&gt;='Project Schedule'!$G24,AG$4&lt;='Project Schedule'!$H24),IF('Project Schedule'!$D24="Milestone","◆",IF('Project Schedule'!$D24="Phase Header","","■")),""))</x:f>
      </x:c>
      <x:c r="AH26" s="28" t="str">
        <x:f>IF(OR('Project Schedule'!$G24="",'Project Schedule'!$H24=""),"",IF(AND(AH$4&gt;='Project Schedule'!$G24,AH$4&lt;='Project Schedule'!$H24),IF('Project Schedule'!$D24="Milestone","◆",IF('Project Schedule'!$D24="Phase Header","","■")),""))</x:f>
      </x:c>
      <x:c r="AI26" s="28" t="str">
        <x:f>IF(OR('Project Schedule'!$G24="",'Project Schedule'!$H24=""),"",IF(AND(AI$4&gt;='Project Schedule'!$G24,AI$4&lt;='Project Schedule'!$H24),IF('Project Schedule'!$D24="Milestone","◆",IF('Project Schedule'!$D24="Phase Header","","■")),""))</x:f>
      </x:c>
      <x:c r="AJ26" s="28" t="str">
        <x:f>IF(OR('Project Schedule'!$G24="",'Project Schedule'!$H24=""),"",IF(AND(AJ$4&gt;='Project Schedule'!$G24,AJ$4&lt;='Project Schedule'!$H24),IF('Project Schedule'!$D24="Milestone","◆",IF('Project Schedule'!$D24="Phase Header","","■")),""))</x:f>
      </x:c>
      <x:c r="AK26" s="28" t="str">
        <x:f>IF(OR('Project Schedule'!$G24="",'Project Schedule'!$H24=""),"",IF(AND(AK$4&gt;='Project Schedule'!$G24,AK$4&lt;='Project Schedule'!$H24),IF('Project Schedule'!$D24="Milestone","◆",IF('Project Schedule'!$D24="Phase Header","","■")),""))</x:f>
      </x:c>
      <x:c r="AL26" s="28" t="str">
        <x:f>IF(OR('Project Schedule'!$G24="",'Project Schedule'!$H24=""),"",IF(AND(AL$4&gt;='Project Schedule'!$G24,AL$4&lt;='Project Schedule'!$H24),IF('Project Schedule'!$D24="Milestone","◆",IF('Project Schedule'!$D24="Phase Header","","■")),""))</x:f>
      </x:c>
      <x:c r="AM26" s="28" t="str">
        <x:f>IF(OR('Project Schedule'!$G24="",'Project Schedule'!$H24=""),"",IF(AND(AM$4&gt;='Project Schedule'!$G24,AM$4&lt;='Project Schedule'!$H24),IF('Project Schedule'!$D24="Milestone","◆",IF('Project Schedule'!$D24="Phase Header","","■")),""))</x:f>
      </x:c>
      <x:c r="AN26" s="28" t="str">
        <x:f>IF(OR('Project Schedule'!$G24="",'Project Schedule'!$H24=""),"",IF(AND(AN$4&gt;='Project Schedule'!$G24,AN$4&lt;='Project Schedule'!$H24),IF('Project Schedule'!$D24="Milestone","◆",IF('Project Schedule'!$D24="Phase Header","","■")),""))</x:f>
      </x:c>
      <x:c r="AO26" s="28" t="str">
        <x:f>IF(OR('Project Schedule'!$G24="",'Project Schedule'!$H24=""),"",IF(AND(AO$4&gt;='Project Schedule'!$G24,AO$4&lt;='Project Schedule'!$H24),IF('Project Schedule'!$D24="Milestone","◆",IF('Project Schedule'!$D24="Phase Header","","■")),""))</x:f>
      </x:c>
      <x:c r="AP26" s="28" t="str">
        <x:f>IF(OR('Project Schedule'!$G24="",'Project Schedule'!$H24=""),"",IF(AND(AP$4&gt;='Project Schedule'!$G24,AP$4&lt;='Project Schedule'!$H24),IF('Project Schedule'!$D24="Milestone","◆",IF('Project Schedule'!$D24="Phase Header","","■")),""))</x:f>
      </x:c>
      <x:c r="AQ26" s="28" t="str">
        <x:f>IF(OR('Project Schedule'!$G24="",'Project Schedule'!$H24=""),"",IF(AND(AQ$4&gt;='Project Schedule'!$G24,AQ$4&lt;='Project Schedule'!$H24),IF('Project Schedule'!$D24="Milestone","◆",IF('Project Schedule'!$D24="Phase Header","","■")),""))</x:f>
      </x:c>
      <x:c r="AR26" s="28" t="str">
        <x:f>IF(OR('Project Schedule'!$G24="",'Project Schedule'!$H24=""),"",IF(AND(AR$4&gt;='Project Schedule'!$G24,AR$4&lt;='Project Schedule'!$H24),IF('Project Schedule'!$D24="Milestone","◆",IF('Project Schedule'!$D24="Phase Header","","■")),""))</x:f>
      </x:c>
    </x:row>
    <x:row r="27" ht="32" customHeight="1">
      <x:c r="A27" s="93" t="str">
        <x:f>'Project Schedule'!A25</x:f>
        <x:v>4.3.2</x:v>
      </x:c>
      <x:c r="B27" s="93" t="str">
        <x:f>'Project Schedule'!B25</x:f>
        <x:v>Final handoff and closure accepted</x:v>
      </x:c>
      <x:c r="C27" s="93" t="str">
        <x:f>'Project Schedule'!D25</x:f>
        <x:v>Milestone</x:v>
      </x:c>
      <x:c r="D27" s="93" t="n">
        <x:f>'Project Schedule'!J25</x:f>
        <x:v>0</x:v>
      </x:c>
      <x:c r="E27" s="28" t="str">
        <x:f>IF(OR('Project Schedule'!$G25="",'Project Schedule'!$H25=""),"",IF(AND(E$4&gt;='Project Schedule'!$G25,E$4&lt;='Project Schedule'!$H25),IF('Project Schedule'!$D25="Milestone","◆",IF('Project Schedule'!$D25="Phase Header","","■")),""))</x:f>
      </x:c>
      <x:c r="F27" s="28" t="str">
        <x:f>IF(OR('Project Schedule'!$G25="",'Project Schedule'!$H25=""),"",IF(AND(F$4&gt;='Project Schedule'!$G25,F$4&lt;='Project Schedule'!$H25),IF('Project Schedule'!$D25="Milestone","◆",IF('Project Schedule'!$D25="Phase Header","","■")),""))</x:f>
      </x:c>
      <x:c r="G27" s="28" t="str">
        <x:f>IF(OR('Project Schedule'!$G25="",'Project Schedule'!$H25=""),"",IF(AND(G$4&gt;='Project Schedule'!$G25,G$4&lt;='Project Schedule'!$H25),IF('Project Schedule'!$D25="Milestone","◆",IF('Project Schedule'!$D25="Phase Header","","■")),""))</x:f>
      </x:c>
      <x:c r="H27" s="28" t="str">
        <x:f>IF(OR('Project Schedule'!$G25="",'Project Schedule'!$H25=""),"",IF(AND(H$4&gt;='Project Schedule'!$G25,H$4&lt;='Project Schedule'!$H25),IF('Project Schedule'!$D25="Milestone","◆",IF('Project Schedule'!$D25="Phase Header","","■")),""))</x:f>
      </x:c>
      <x:c r="I27" s="28" t="str">
        <x:f>IF(OR('Project Schedule'!$G25="",'Project Schedule'!$H25=""),"",IF(AND(I$4&gt;='Project Schedule'!$G25,I$4&lt;='Project Schedule'!$H25),IF('Project Schedule'!$D25="Milestone","◆",IF('Project Schedule'!$D25="Phase Header","","■")),""))</x:f>
      </x:c>
      <x:c r="J27" s="28" t="str">
        <x:f>IF(OR('Project Schedule'!$G25="",'Project Schedule'!$H25=""),"",IF(AND(J$4&gt;='Project Schedule'!$G25,J$4&lt;='Project Schedule'!$H25),IF('Project Schedule'!$D25="Milestone","◆",IF('Project Schedule'!$D25="Phase Header","","■")),""))</x:f>
      </x:c>
      <x:c r="K27" s="28" t="str">
        <x:f>IF(OR('Project Schedule'!$G25="",'Project Schedule'!$H25=""),"",IF(AND(K$4&gt;='Project Schedule'!$G25,K$4&lt;='Project Schedule'!$H25),IF('Project Schedule'!$D25="Milestone","◆",IF('Project Schedule'!$D25="Phase Header","","■")),""))</x:f>
      </x:c>
      <x:c r="L27" s="28" t="str">
        <x:f>IF(OR('Project Schedule'!$G25="",'Project Schedule'!$H25=""),"",IF(AND(L$4&gt;='Project Schedule'!$G25,L$4&lt;='Project Schedule'!$H25),IF('Project Schedule'!$D25="Milestone","◆",IF('Project Schedule'!$D25="Phase Header","","■")),""))</x:f>
      </x:c>
      <x:c r="M27" s="28" t="str">
        <x:f>IF(OR('Project Schedule'!$G25="",'Project Schedule'!$H25=""),"",IF(AND(M$4&gt;='Project Schedule'!$G25,M$4&lt;='Project Schedule'!$H25),IF('Project Schedule'!$D25="Milestone","◆",IF('Project Schedule'!$D25="Phase Header","","■")),""))</x:f>
      </x:c>
      <x:c r="N27" s="28" t="str">
        <x:f>IF(OR('Project Schedule'!$G25="",'Project Schedule'!$H25=""),"",IF(AND(N$4&gt;='Project Schedule'!$G25,N$4&lt;='Project Schedule'!$H25),IF('Project Schedule'!$D25="Milestone","◆",IF('Project Schedule'!$D25="Phase Header","","■")),""))</x:f>
      </x:c>
      <x:c r="O27" s="28" t="str">
        <x:f>IF(OR('Project Schedule'!$G25="",'Project Schedule'!$H25=""),"",IF(AND(O$4&gt;='Project Schedule'!$G25,O$4&lt;='Project Schedule'!$H25),IF('Project Schedule'!$D25="Milestone","◆",IF('Project Schedule'!$D25="Phase Header","","■")),""))</x:f>
      </x:c>
      <x:c r="P27" s="28" t="str">
        <x:f>IF(OR('Project Schedule'!$G25="",'Project Schedule'!$H25=""),"",IF(AND(P$4&gt;='Project Schedule'!$G25,P$4&lt;='Project Schedule'!$H25),IF('Project Schedule'!$D25="Milestone","◆",IF('Project Schedule'!$D25="Phase Header","","■")),""))</x:f>
      </x:c>
      <x:c r="Q27" s="28" t="str">
        <x:f>IF(OR('Project Schedule'!$G25="",'Project Schedule'!$H25=""),"",IF(AND(Q$4&gt;='Project Schedule'!$G25,Q$4&lt;='Project Schedule'!$H25),IF('Project Schedule'!$D25="Milestone","◆",IF('Project Schedule'!$D25="Phase Header","","■")),""))</x:f>
      </x:c>
      <x:c r="R27" s="28" t="str">
        <x:f>IF(OR('Project Schedule'!$G25="",'Project Schedule'!$H25=""),"",IF(AND(R$4&gt;='Project Schedule'!$G25,R$4&lt;='Project Schedule'!$H25),IF('Project Schedule'!$D25="Milestone","◆",IF('Project Schedule'!$D25="Phase Header","","■")),""))</x:f>
      </x:c>
      <x:c r="S27" s="28" t="str">
        <x:f>IF(OR('Project Schedule'!$G25="",'Project Schedule'!$H25=""),"",IF(AND(S$4&gt;='Project Schedule'!$G25,S$4&lt;='Project Schedule'!$H25),IF('Project Schedule'!$D25="Milestone","◆",IF('Project Schedule'!$D25="Phase Header","","■")),""))</x:f>
      </x:c>
      <x:c r="T27" s="28" t="str">
        <x:f>IF(OR('Project Schedule'!$G25="",'Project Schedule'!$H25=""),"",IF(AND(T$4&gt;='Project Schedule'!$G25,T$4&lt;='Project Schedule'!$H25),IF('Project Schedule'!$D25="Milestone","◆",IF('Project Schedule'!$D25="Phase Header","","■")),""))</x:f>
      </x:c>
      <x:c r="U27" s="28" t="str">
        <x:f>IF(OR('Project Schedule'!$G25="",'Project Schedule'!$H25=""),"",IF(AND(U$4&gt;='Project Schedule'!$G25,U$4&lt;='Project Schedule'!$H25),IF('Project Schedule'!$D25="Milestone","◆",IF('Project Schedule'!$D25="Phase Header","","■")),""))</x:f>
      </x:c>
      <x:c r="V27" s="28" t="str">
        <x:f>IF(OR('Project Schedule'!$G25="",'Project Schedule'!$H25=""),"",IF(AND(V$4&gt;='Project Schedule'!$G25,V$4&lt;='Project Schedule'!$H25),IF('Project Schedule'!$D25="Milestone","◆",IF('Project Schedule'!$D25="Phase Header","","■")),""))</x:f>
      </x:c>
      <x:c r="W27" s="28" t="str">
        <x:f>IF(OR('Project Schedule'!$G25="",'Project Schedule'!$H25=""),"",IF(AND(W$4&gt;='Project Schedule'!$G25,W$4&lt;='Project Schedule'!$H25),IF('Project Schedule'!$D25="Milestone","◆",IF('Project Schedule'!$D25="Phase Header","","■")),""))</x:f>
      </x:c>
      <x:c r="X27" s="28" t="str">
        <x:f>IF(OR('Project Schedule'!$G25="",'Project Schedule'!$H25=""),"",IF(AND(X$4&gt;='Project Schedule'!$G25,X$4&lt;='Project Schedule'!$H25),IF('Project Schedule'!$D25="Milestone","◆",IF('Project Schedule'!$D25="Phase Header","","■")),""))</x:f>
      </x:c>
      <x:c r="Y27" s="28" t="str">
        <x:f>IF(OR('Project Schedule'!$G25="",'Project Schedule'!$H25=""),"",IF(AND(Y$4&gt;='Project Schedule'!$G25,Y$4&lt;='Project Schedule'!$H25),IF('Project Schedule'!$D25="Milestone","◆",IF('Project Schedule'!$D25="Phase Header","","■")),""))</x:f>
      </x:c>
      <x:c r="Z27" s="28" t="str">
        <x:f>IF(OR('Project Schedule'!$G25="",'Project Schedule'!$H25=""),"",IF(AND(Z$4&gt;='Project Schedule'!$G25,Z$4&lt;='Project Schedule'!$H25),IF('Project Schedule'!$D25="Milestone","◆",IF('Project Schedule'!$D25="Phase Header","","■")),""))</x:f>
      </x:c>
      <x:c r="AA27" s="28" t="str">
        <x:f>IF(OR('Project Schedule'!$G25="",'Project Schedule'!$H25=""),"",IF(AND(AA$4&gt;='Project Schedule'!$G25,AA$4&lt;='Project Schedule'!$H25),IF('Project Schedule'!$D25="Milestone","◆",IF('Project Schedule'!$D25="Phase Header","","■")),""))</x:f>
      </x:c>
      <x:c r="AB27" s="28" t="str">
        <x:f>IF(OR('Project Schedule'!$G25="",'Project Schedule'!$H25=""),"",IF(AND(AB$4&gt;='Project Schedule'!$G25,AB$4&lt;='Project Schedule'!$H25),IF('Project Schedule'!$D25="Milestone","◆",IF('Project Schedule'!$D25="Phase Header","","■")),""))</x:f>
      </x:c>
      <x:c r="AC27" s="28" t="str">
        <x:f>IF(OR('Project Schedule'!$G25="",'Project Schedule'!$H25=""),"",IF(AND(AC$4&gt;='Project Schedule'!$G25,AC$4&lt;='Project Schedule'!$H25),IF('Project Schedule'!$D25="Milestone","◆",IF('Project Schedule'!$D25="Phase Header","","■")),""))</x:f>
      </x:c>
      <x:c r="AD27" s="28" t="str">
        <x:f>IF(OR('Project Schedule'!$G25="",'Project Schedule'!$H25=""),"",IF(AND(AD$4&gt;='Project Schedule'!$G25,AD$4&lt;='Project Schedule'!$H25),IF('Project Schedule'!$D25="Milestone","◆",IF('Project Schedule'!$D25="Phase Header","","■")),""))</x:f>
        <x:v>◆</x:v>
      </x:c>
      <x:c r="AE27" s="28" t="str">
        <x:f>IF(OR('Project Schedule'!$G25="",'Project Schedule'!$H25=""),"",IF(AND(AE$4&gt;='Project Schedule'!$G25,AE$4&lt;='Project Schedule'!$H25),IF('Project Schedule'!$D25="Milestone","◆",IF('Project Schedule'!$D25="Phase Header","","■")),""))</x:f>
      </x:c>
      <x:c r="AF27" s="28" t="str">
        <x:f>IF(OR('Project Schedule'!$G25="",'Project Schedule'!$H25=""),"",IF(AND(AF$4&gt;='Project Schedule'!$G25,AF$4&lt;='Project Schedule'!$H25),IF('Project Schedule'!$D25="Milestone","◆",IF('Project Schedule'!$D25="Phase Header","","■")),""))</x:f>
      </x:c>
      <x:c r="AG27" s="28" t="str">
        <x:f>IF(OR('Project Schedule'!$G25="",'Project Schedule'!$H25=""),"",IF(AND(AG$4&gt;='Project Schedule'!$G25,AG$4&lt;='Project Schedule'!$H25),IF('Project Schedule'!$D25="Milestone","◆",IF('Project Schedule'!$D25="Phase Header","","■")),""))</x:f>
      </x:c>
      <x:c r="AH27" s="28" t="str">
        <x:f>IF(OR('Project Schedule'!$G25="",'Project Schedule'!$H25=""),"",IF(AND(AH$4&gt;='Project Schedule'!$G25,AH$4&lt;='Project Schedule'!$H25),IF('Project Schedule'!$D25="Milestone","◆",IF('Project Schedule'!$D25="Phase Header","","■")),""))</x:f>
      </x:c>
      <x:c r="AI27" s="28" t="str">
        <x:f>IF(OR('Project Schedule'!$G25="",'Project Schedule'!$H25=""),"",IF(AND(AI$4&gt;='Project Schedule'!$G25,AI$4&lt;='Project Schedule'!$H25),IF('Project Schedule'!$D25="Milestone","◆",IF('Project Schedule'!$D25="Phase Header","","■")),""))</x:f>
      </x:c>
      <x:c r="AJ27" s="28" t="str">
        <x:f>IF(OR('Project Schedule'!$G25="",'Project Schedule'!$H25=""),"",IF(AND(AJ$4&gt;='Project Schedule'!$G25,AJ$4&lt;='Project Schedule'!$H25),IF('Project Schedule'!$D25="Milestone","◆",IF('Project Schedule'!$D25="Phase Header","","■")),""))</x:f>
      </x:c>
      <x:c r="AK27" s="28" t="str">
        <x:f>IF(OR('Project Schedule'!$G25="",'Project Schedule'!$H25=""),"",IF(AND(AK$4&gt;='Project Schedule'!$G25,AK$4&lt;='Project Schedule'!$H25),IF('Project Schedule'!$D25="Milestone","◆",IF('Project Schedule'!$D25="Phase Header","","■")),""))</x:f>
      </x:c>
      <x:c r="AL27" s="28" t="str">
        <x:f>IF(OR('Project Schedule'!$G25="",'Project Schedule'!$H25=""),"",IF(AND(AL$4&gt;='Project Schedule'!$G25,AL$4&lt;='Project Schedule'!$H25),IF('Project Schedule'!$D25="Milestone","◆",IF('Project Schedule'!$D25="Phase Header","","■")),""))</x:f>
      </x:c>
      <x:c r="AM27" s="28" t="str">
        <x:f>IF(OR('Project Schedule'!$G25="",'Project Schedule'!$H25=""),"",IF(AND(AM$4&gt;='Project Schedule'!$G25,AM$4&lt;='Project Schedule'!$H25),IF('Project Schedule'!$D25="Milestone","◆",IF('Project Schedule'!$D25="Phase Header","","■")),""))</x:f>
      </x:c>
      <x:c r="AN27" s="28" t="str">
        <x:f>IF(OR('Project Schedule'!$G25="",'Project Schedule'!$H25=""),"",IF(AND(AN$4&gt;='Project Schedule'!$G25,AN$4&lt;='Project Schedule'!$H25),IF('Project Schedule'!$D25="Milestone","◆",IF('Project Schedule'!$D25="Phase Header","","■")),""))</x:f>
      </x:c>
      <x:c r="AO27" s="28" t="str">
        <x:f>IF(OR('Project Schedule'!$G25="",'Project Schedule'!$H25=""),"",IF(AND(AO$4&gt;='Project Schedule'!$G25,AO$4&lt;='Project Schedule'!$H25),IF('Project Schedule'!$D25="Milestone","◆",IF('Project Schedule'!$D25="Phase Header","","■")),""))</x:f>
      </x:c>
      <x:c r="AP27" s="28" t="str">
        <x:f>IF(OR('Project Schedule'!$G25="",'Project Schedule'!$H25=""),"",IF(AND(AP$4&gt;='Project Schedule'!$G25,AP$4&lt;='Project Schedule'!$H25),IF('Project Schedule'!$D25="Milestone","◆",IF('Project Schedule'!$D25="Phase Header","","■")),""))</x:f>
      </x:c>
      <x:c r="AQ27" s="28" t="str">
        <x:f>IF(OR('Project Schedule'!$G25="",'Project Schedule'!$H25=""),"",IF(AND(AQ$4&gt;='Project Schedule'!$G25,AQ$4&lt;='Project Schedule'!$H25),IF('Project Schedule'!$D25="Milestone","◆",IF('Project Schedule'!$D25="Phase Header","","■")),""))</x:f>
      </x:c>
      <x:c r="AR27" s="28" t="str">
        <x:f>IF(OR('Project Schedule'!$G25="",'Project Schedule'!$H25=""),"",IF(AND(AR$4&gt;='Project Schedule'!$G25,AR$4&lt;='Project Schedule'!$H25),IF('Project Schedule'!$D25="Milestone","◆",IF('Project Schedule'!$D25="Phase Header","","■")),""))</x:f>
      </x:c>
    </x:row>
    <x:row r="28" ht="32" customHeight="1">
      <x:c r="A28" s="93" t="n">
        <x:f>'Project Schedule'!A26</x:f>
        <x:v>0</x:v>
      </x:c>
      <x:c r="B28" s="93" t="n">
        <x:f>'Project Schedule'!B26</x:f>
        <x:v>0</x:v>
      </x:c>
      <x:c r="C28" s="93" t="n">
        <x:f>'Project Schedule'!D26</x:f>
        <x:v>0</x:v>
      </x:c>
      <x:c r="D28" s="93" t="n">
        <x:f>'Project Schedule'!J26</x:f>
        <x:v>0</x:v>
      </x:c>
      <x:c r="E28" s="28" t="str">
        <x:f>IF(OR('Project Schedule'!$G26="",'Project Schedule'!$H26=""),"",IF(AND(E$4&gt;='Project Schedule'!$G26,E$4&lt;='Project Schedule'!$H26),IF('Project Schedule'!$D26="Milestone","◆",IF('Project Schedule'!$D26="Phase Header","","■")),""))</x:f>
      </x:c>
      <x:c r="F28" s="28" t="str">
        <x:f>IF(OR('Project Schedule'!$G26="",'Project Schedule'!$H26=""),"",IF(AND(F$4&gt;='Project Schedule'!$G26,F$4&lt;='Project Schedule'!$H26),IF('Project Schedule'!$D26="Milestone","◆",IF('Project Schedule'!$D26="Phase Header","","■")),""))</x:f>
      </x:c>
      <x:c r="G28" s="28" t="str">
        <x:f>IF(OR('Project Schedule'!$G26="",'Project Schedule'!$H26=""),"",IF(AND(G$4&gt;='Project Schedule'!$G26,G$4&lt;='Project Schedule'!$H26),IF('Project Schedule'!$D26="Milestone","◆",IF('Project Schedule'!$D26="Phase Header","","■")),""))</x:f>
      </x:c>
      <x:c r="H28" s="28" t="str">
        <x:f>IF(OR('Project Schedule'!$G26="",'Project Schedule'!$H26=""),"",IF(AND(H$4&gt;='Project Schedule'!$G26,H$4&lt;='Project Schedule'!$H26),IF('Project Schedule'!$D26="Milestone","◆",IF('Project Schedule'!$D26="Phase Header","","■")),""))</x:f>
      </x:c>
      <x:c r="I28" s="28" t="str">
        <x:f>IF(OR('Project Schedule'!$G26="",'Project Schedule'!$H26=""),"",IF(AND(I$4&gt;='Project Schedule'!$G26,I$4&lt;='Project Schedule'!$H26),IF('Project Schedule'!$D26="Milestone","◆",IF('Project Schedule'!$D26="Phase Header","","■")),""))</x:f>
      </x:c>
      <x:c r="J28" s="28" t="str">
        <x:f>IF(OR('Project Schedule'!$G26="",'Project Schedule'!$H26=""),"",IF(AND(J$4&gt;='Project Schedule'!$G26,J$4&lt;='Project Schedule'!$H26),IF('Project Schedule'!$D26="Milestone","◆",IF('Project Schedule'!$D26="Phase Header","","■")),""))</x:f>
      </x:c>
      <x:c r="K28" s="28" t="str">
        <x:f>IF(OR('Project Schedule'!$G26="",'Project Schedule'!$H26=""),"",IF(AND(K$4&gt;='Project Schedule'!$G26,K$4&lt;='Project Schedule'!$H26),IF('Project Schedule'!$D26="Milestone","◆",IF('Project Schedule'!$D26="Phase Header","","■")),""))</x:f>
      </x:c>
      <x:c r="L28" s="28" t="str">
        <x:f>IF(OR('Project Schedule'!$G26="",'Project Schedule'!$H26=""),"",IF(AND(L$4&gt;='Project Schedule'!$G26,L$4&lt;='Project Schedule'!$H26),IF('Project Schedule'!$D26="Milestone","◆",IF('Project Schedule'!$D26="Phase Header","","■")),""))</x:f>
      </x:c>
      <x:c r="M28" s="28" t="str">
        <x:f>IF(OR('Project Schedule'!$G26="",'Project Schedule'!$H26=""),"",IF(AND(M$4&gt;='Project Schedule'!$G26,M$4&lt;='Project Schedule'!$H26),IF('Project Schedule'!$D26="Milestone","◆",IF('Project Schedule'!$D26="Phase Header","","■")),""))</x:f>
      </x:c>
      <x:c r="N28" s="28" t="str">
        <x:f>IF(OR('Project Schedule'!$G26="",'Project Schedule'!$H26=""),"",IF(AND(N$4&gt;='Project Schedule'!$G26,N$4&lt;='Project Schedule'!$H26),IF('Project Schedule'!$D26="Milestone","◆",IF('Project Schedule'!$D26="Phase Header","","■")),""))</x:f>
      </x:c>
      <x:c r="O28" s="28" t="str">
        <x:f>IF(OR('Project Schedule'!$G26="",'Project Schedule'!$H26=""),"",IF(AND(O$4&gt;='Project Schedule'!$G26,O$4&lt;='Project Schedule'!$H26),IF('Project Schedule'!$D26="Milestone","◆",IF('Project Schedule'!$D26="Phase Header","","■")),""))</x:f>
      </x:c>
      <x:c r="P28" s="28" t="str">
        <x:f>IF(OR('Project Schedule'!$G26="",'Project Schedule'!$H26=""),"",IF(AND(P$4&gt;='Project Schedule'!$G26,P$4&lt;='Project Schedule'!$H26),IF('Project Schedule'!$D26="Milestone","◆",IF('Project Schedule'!$D26="Phase Header","","■")),""))</x:f>
      </x:c>
      <x:c r="Q28" s="28" t="str">
        <x:f>IF(OR('Project Schedule'!$G26="",'Project Schedule'!$H26=""),"",IF(AND(Q$4&gt;='Project Schedule'!$G26,Q$4&lt;='Project Schedule'!$H26),IF('Project Schedule'!$D26="Milestone","◆",IF('Project Schedule'!$D26="Phase Header","","■")),""))</x:f>
      </x:c>
      <x:c r="R28" s="28" t="str">
        <x:f>IF(OR('Project Schedule'!$G26="",'Project Schedule'!$H26=""),"",IF(AND(R$4&gt;='Project Schedule'!$G26,R$4&lt;='Project Schedule'!$H26),IF('Project Schedule'!$D26="Milestone","◆",IF('Project Schedule'!$D26="Phase Header","","■")),""))</x:f>
      </x:c>
      <x:c r="S28" s="28" t="str">
        <x:f>IF(OR('Project Schedule'!$G26="",'Project Schedule'!$H26=""),"",IF(AND(S$4&gt;='Project Schedule'!$G26,S$4&lt;='Project Schedule'!$H26),IF('Project Schedule'!$D26="Milestone","◆",IF('Project Schedule'!$D26="Phase Header","","■")),""))</x:f>
      </x:c>
      <x:c r="T28" s="28" t="str">
        <x:f>IF(OR('Project Schedule'!$G26="",'Project Schedule'!$H26=""),"",IF(AND(T$4&gt;='Project Schedule'!$G26,T$4&lt;='Project Schedule'!$H26),IF('Project Schedule'!$D26="Milestone","◆",IF('Project Schedule'!$D26="Phase Header","","■")),""))</x:f>
      </x:c>
      <x:c r="U28" s="28" t="str">
        <x:f>IF(OR('Project Schedule'!$G26="",'Project Schedule'!$H26=""),"",IF(AND(U$4&gt;='Project Schedule'!$G26,U$4&lt;='Project Schedule'!$H26),IF('Project Schedule'!$D26="Milestone","◆",IF('Project Schedule'!$D26="Phase Header","","■")),""))</x:f>
      </x:c>
      <x:c r="V28" s="28" t="str">
        <x:f>IF(OR('Project Schedule'!$G26="",'Project Schedule'!$H26=""),"",IF(AND(V$4&gt;='Project Schedule'!$G26,V$4&lt;='Project Schedule'!$H26),IF('Project Schedule'!$D26="Milestone","◆",IF('Project Schedule'!$D26="Phase Header","","■")),""))</x:f>
      </x:c>
      <x:c r="W28" s="28" t="str">
        <x:f>IF(OR('Project Schedule'!$G26="",'Project Schedule'!$H26=""),"",IF(AND(W$4&gt;='Project Schedule'!$G26,W$4&lt;='Project Schedule'!$H26),IF('Project Schedule'!$D26="Milestone","◆",IF('Project Schedule'!$D26="Phase Header","","■")),""))</x:f>
      </x:c>
      <x:c r="X28" s="28" t="str">
        <x:f>IF(OR('Project Schedule'!$G26="",'Project Schedule'!$H26=""),"",IF(AND(X$4&gt;='Project Schedule'!$G26,X$4&lt;='Project Schedule'!$H26),IF('Project Schedule'!$D26="Milestone","◆",IF('Project Schedule'!$D26="Phase Header","","■")),""))</x:f>
      </x:c>
      <x:c r="Y28" s="28" t="str">
        <x:f>IF(OR('Project Schedule'!$G26="",'Project Schedule'!$H26=""),"",IF(AND(Y$4&gt;='Project Schedule'!$G26,Y$4&lt;='Project Schedule'!$H26),IF('Project Schedule'!$D26="Milestone","◆",IF('Project Schedule'!$D26="Phase Header","","■")),""))</x:f>
      </x:c>
      <x:c r="Z28" s="28" t="str">
        <x:f>IF(OR('Project Schedule'!$G26="",'Project Schedule'!$H26=""),"",IF(AND(Z$4&gt;='Project Schedule'!$G26,Z$4&lt;='Project Schedule'!$H26),IF('Project Schedule'!$D26="Milestone","◆",IF('Project Schedule'!$D26="Phase Header","","■")),""))</x:f>
      </x:c>
      <x:c r="AA28" s="28" t="str">
        <x:f>IF(OR('Project Schedule'!$G26="",'Project Schedule'!$H26=""),"",IF(AND(AA$4&gt;='Project Schedule'!$G26,AA$4&lt;='Project Schedule'!$H26),IF('Project Schedule'!$D26="Milestone","◆",IF('Project Schedule'!$D26="Phase Header","","■")),""))</x:f>
      </x:c>
      <x:c r="AB28" s="28" t="str">
        <x:f>IF(OR('Project Schedule'!$G26="",'Project Schedule'!$H26=""),"",IF(AND(AB$4&gt;='Project Schedule'!$G26,AB$4&lt;='Project Schedule'!$H26),IF('Project Schedule'!$D26="Milestone","◆",IF('Project Schedule'!$D26="Phase Header","","■")),""))</x:f>
      </x:c>
      <x:c r="AC28" s="28" t="str">
        <x:f>IF(OR('Project Schedule'!$G26="",'Project Schedule'!$H26=""),"",IF(AND(AC$4&gt;='Project Schedule'!$G26,AC$4&lt;='Project Schedule'!$H26),IF('Project Schedule'!$D26="Milestone","◆",IF('Project Schedule'!$D26="Phase Header","","■")),""))</x:f>
      </x:c>
      <x:c r="AD28" s="28" t="str">
        <x:f>IF(OR('Project Schedule'!$G26="",'Project Schedule'!$H26=""),"",IF(AND(AD$4&gt;='Project Schedule'!$G26,AD$4&lt;='Project Schedule'!$H26),IF('Project Schedule'!$D26="Milestone","◆",IF('Project Schedule'!$D26="Phase Header","","■")),""))</x:f>
      </x:c>
      <x:c r="AE28" s="28" t="str">
        <x:f>IF(OR('Project Schedule'!$G26="",'Project Schedule'!$H26=""),"",IF(AND(AE$4&gt;='Project Schedule'!$G26,AE$4&lt;='Project Schedule'!$H26),IF('Project Schedule'!$D26="Milestone","◆",IF('Project Schedule'!$D26="Phase Header","","■")),""))</x:f>
      </x:c>
      <x:c r="AF28" s="28" t="str">
        <x:f>IF(OR('Project Schedule'!$G26="",'Project Schedule'!$H26=""),"",IF(AND(AF$4&gt;='Project Schedule'!$G26,AF$4&lt;='Project Schedule'!$H26),IF('Project Schedule'!$D26="Milestone","◆",IF('Project Schedule'!$D26="Phase Header","","■")),""))</x:f>
      </x:c>
      <x:c r="AG28" s="28" t="str">
        <x:f>IF(OR('Project Schedule'!$G26="",'Project Schedule'!$H26=""),"",IF(AND(AG$4&gt;='Project Schedule'!$G26,AG$4&lt;='Project Schedule'!$H26),IF('Project Schedule'!$D26="Milestone","◆",IF('Project Schedule'!$D26="Phase Header","","■")),""))</x:f>
      </x:c>
      <x:c r="AH28" s="28" t="str">
        <x:f>IF(OR('Project Schedule'!$G26="",'Project Schedule'!$H26=""),"",IF(AND(AH$4&gt;='Project Schedule'!$G26,AH$4&lt;='Project Schedule'!$H26),IF('Project Schedule'!$D26="Milestone","◆",IF('Project Schedule'!$D26="Phase Header","","■")),""))</x:f>
      </x:c>
      <x:c r="AI28" s="28" t="str">
        <x:f>IF(OR('Project Schedule'!$G26="",'Project Schedule'!$H26=""),"",IF(AND(AI$4&gt;='Project Schedule'!$G26,AI$4&lt;='Project Schedule'!$H26),IF('Project Schedule'!$D26="Milestone","◆",IF('Project Schedule'!$D26="Phase Header","","■")),""))</x:f>
      </x:c>
      <x:c r="AJ28" s="28" t="str">
        <x:f>IF(OR('Project Schedule'!$G26="",'Project Schedule'!$H26=""),"",IF(AND(AJ$4&gt;='Project Schedule'!$G26,AJ$4&lt;='Project Schedule'!$H26),IF('Project Schedule'!$D26="Milestone","◆",IF('Project Schedule'!$D26="Phase Header","","■")),""))</x:f>
      </x:c>
      <x:c r="AK28" s="28" t="str">
        <x:f>IF(OR('Project Schedule'!$G26="",'Project Schedule'!$H26=""),"",IF(AND(AK$4&gt;='Project Schedule'!$G26,AK$4&lt;='Project Schedule'!$H26),IF('Project Schedule'!$D26="Milestone","◆",IF('Project Schedule'!$D26="Phase Header","","■")),""))</x:f>
      </x:c>
      <x:c r="AL28" s="28" t="str">
        <x:f>IF(OR('Project Schedule'!$G26="",'Project Schedule'!$H26=""),"",IF(AND(AL$4&gt;='Project Schedule'!$G26,AL$4&lt;='Project Schedule'!$H26),IF('Project Schedule'!$D26="Milestone","◆",IF('Project Schedule'!$D26="Phase Header","","■")),""))</x:f>
      </x:c>
      <x:c r="AM28" s="28" t="str">
        <x:f>IF(OR('Project Schedule'!$G26="",'Project Schedule'!$H26=""),"",IF(AND(AM$4&gt;='Project Schedule'!$G26,AM$4&lt;='Project Schedule'!$H26),IF('Project Schedule'!$D26="Milestone","◆",IF('Project Schedule'!$D26="Phase Header","","■")),""))</x:f>
      </x:c>
      <x:c r="AN28" s="28" t="str">
        <x:f>IF(OR('Project Schedule'!$G26="",'Project Schedule'!$H26=""),"",IF(AND(AN$4&gt;='Project Schedule'!$G26,AN$4&lt;='Project Schedule'!$H26),IF('Project Schedule'!$D26="Milestone","◆",IF('Project Schedule'!$D26="Phase Header","","■")),""))</x:f>
      </x:c>
      <x:c r="AO28" s="28" t="str">
        <x:f>IF(OR('Project Schedule'!$G26="",'Project Schedule'!$H26=""),"",IF(AND(AO$4&gt;='Project Schedule'!$G26,AO$4&lt;='Project Schedule'!$H26),IF('Project Schedule'!$D26="Milestone","◆",IF('Project Schedule'!$D26="Phase Header","","■")),""))</x:f>
      </x:c>
      <x:c r="AP28" s="28" t="str">
        <x:f>IF(OR('Project Schedule'!$G26="",'Project Schedule'!$H26=""),"",IF(AND(AP$4&gt;='Project Schedule'!$G26,AP$4&lt;='Project Schedule'!$H26),IF('Project Schedule'!$D26="Milestone","◆",IF('Project Schedule'!$D26="Phase Header","","■")),""))</x:f>
      </x:c>
      <x:c r="AQ28" s="28" t="str">
        <x:f>IF(OR('Project Schedule'!$G26="",'Project Schedule'!$H26=""),"",IF(AND(AQ$4&gt;='Project Schedule'!$G26,AQ$4&lt;='Project Schedule'!$H26),IF('Project Schedule'!$D26="Milestone","◆",IF('Project Schedule'!$D26="Phase Header","","■")),""))</x:f>
      </x:c>
      <x:c r="AR28" s="28" t="str">
        <x:f>IF(OR('Project Schedule'!$G26="",'Project Schedule'!$H26=""),"",IF(AND(AR$4&gt;='Project Schedule'!$G26,AR$4&lt;='Project Schedule'!$H26),IF('Project Schedule'!$D26="Milestone","◆",IF('Project Schedule'!$D26="Phase Header","","■")),""))</x:f>
      </x:c>
    </x:row>
    <x:row r="29" ht="32" customHeight="1">
      <x:c r="A29" s="93" t="n">
        <x:f>'Project Schedule'!A27</x:f>
        <x:v>0</x:v>
      </x:c>
      <x:c r="B29" s="93" t="n">
        <x:f>'Project Schedule'!B27</x:f>
        <x:v>0</x:v>
      </x:c>
      <x:c r="C29" s="93" t="n">
        <x:f>'Project Schedule'!D27</x:f>
        <x:v>0</x:v>
      </x:c>
      <x:c r="D29" s="93" t="n">
        <x:f>'Project Schedule'!J27</x:f>
        <x:v>0</x:v>
      </x:c>
      <x:c r="E29" s="28" t="str">
        <x:f>IF(OR('Project Schedule'!$G27="",'Project Schedule'!$H27=""),"",IF(AND(E$4&gt;='Project Schedule'!$G27,E$4&lt;='Project Schedule'!$H27),IF('Project Schedule'!$D27="Milestone","◆",IF('Project Schedule'!$D27="Phase Header","","■")),""))</x:f>
      </x:c>
      <x:c r="F29" s="28" t="str">
        <x:f>IF(OR('Project Schedule'!$G27="",'Project Schedule'!$H27=""),"",IF(AND(F$4&gt;='Project Schedule'!$G27,F$4&lt;='Project Schedule'!$H27),IF('Project Schedule'!$D27="Milestone","◆",IF('Project Schedule'!$D27="Phase Header","","■")),""))</x:f>
      </x:c>
      <x:c r="G29" s="28" t="str">
        <x:f>IF(OR('Project Schedule'!$G27="",'Project Schedule'!$H27=""),"",IF(AND(G$4&gt;='Project Schedule'!$G27,G$4&lt;='Project Schedule'!$H27),IF('Project Schedule'!$D27="Milestone","◆",IF('Project Schedule'!$D27="Phase Header","","■")),""))</x:f>
      </x:c>
      <x:c r="H29" s="28" t="str">
        <x:f>IF(OR('Project Schedule'!$G27="",'Project Schedule'!$H27=""),"",IF(AND(H$4&gt;='Project Schedule'!$G27,H$4&lt;='Project Schedule'!$H27),IF('Project Schedule'!$D27="Milestone","◆",IF('Project Schedule'!$D27="Phase Header","","■")),""))</x:f>
      </x:c>
      <x:c r="I29" s="28" t="str">
        <x:f>IF(OR('Project Schedule'!$G27="",'Project Schedule'!$H27=""),"",IF(AND(I$4&gt;='Project Schedule'!$G27,I$4&lt;='Project Schedule'!$H27),IF('Project Schedule'!$D27="Milestone","◆",IF('Project Schedule'!$D27="Phase Header","","■")),""))</x:f>
      </x:c>
      <x:c r="J29" s="28" t="str">
        <x:f>IF(OR('Project Schedule'!$G27="",'Project Schedule'!$H27=""),"",IF(AND(J$4&gt;='Project Schedule'!$G27,J$4&lt;='Project Schedule'!$H27),IF('Project Schedule'!$D27="Milestone","◆",IF('Project Schedule'!$D27="Phase Header","","■")),""))</x:f>
      </x:c>
      <x:c r="K29" s="28" t="str">
        <x:f>IF(OR('Project Schedule'!$G27="",'Project Schedule'!$H27=""),"",IF(AND(K$4&gt;='Project Schedule'!$G27,K$4&lt;='Project Schedule'!$H27),IF('Project Schedule'!$D27="Milestone","◆",IF('Project Schedule'!$D27="Phase Header","","■")),""))</x:f>
      </x:c>
      <x:c r="L29" s="28" t="str">
        <x:f>IF(OR('Project Schedule'!$G27="",'Project Schedule'!$H27=""),"",IF(AND(L$4&gt;='Project Schedule'!$G27,L$4&lt;='Project Schedule'!$H27),IF('Project Schedule'!$D27="Milestone","◆",IF('Project Schedule'!$D27="Phase Header","","■")),""))</x:f>
      </x:c>
      <x:c r="M29" s="28" t="str">
        <x:f>IF(OR('Project Schedule'!$G27="",'Project Schedule'!$H27=""),"",IF(AND(M$4&gt;='Project Schedule'!$G27,M$4&lt;='Project Schedule'!$H27),IF('Project Schedule'!$D27="Milestone","◆",IF('Project Schedule'!$D27="Phase Header","","■")),""))</x:f>
      </x:c>
      <x:c r="N29" s="28" t="str">
        <x:f>IF(OR('Project Schedule'!$G27="",'Project Schedule'!$H27=""),"",IF(AND(N$4&gt;='Project Schedule'!$G27,N$4&lt;='Project Schedule'!$H27),IF('Project Schedule'!$D27="Milestone","◆",IF('Project Schedule'!$D27="Phase Header","","■")),""))</x:f>
      </x:c>
      <x:c r="O29" s="28" t="str">
        <x:f>IF(OR('Project Schedule'!$G27="",'Project Schedule'!$H27=""),"",IF(AND(O$4&gt;='Project Schedule'!$G27,O$4&lt;='Project Schedule'!$H27),IF('Project Schedule'!$D27="Milestone","◆",IF('Project Schedule'!$D27="Phase Header","","■")),""))</x:f>
      </x:c>
      <x:c r="P29" s="28" t="str">
        <x:f>IF(OR('Project Schedule'!$G27="",'Project Schedule'!$H27=""),"",IF(AND(P$4&gt;='Project Schedule'!$G27,P$4&lt;='Project Schedule'!$H27),IF('Project Schedule'!$D27="Milestone","◆",IF('Project Schedule'!$D27="Phase Header","","■")),""))</x:f>
      </x:c>
      <x:c r="Q29" s="28" t="str">
        <x:f>IF(OR('Project Schedule'!$G27="",'Project Schedule'!$H27=""),"",IF(AND(Q$4&gt;='Project Schedule'!$G27,Q$4&lt;='Project Schedule'!$H27),IF('Project Schedule'!$D27="Milestone","◆",IF('Project Schedule'!$D27="Phase Header","","■")),""))</x:f>
      </x:c>
      <x:c r="R29" s="28" t="str">
        <x:f>IF(OR('Project Schedule'!$G27="",'Project Schedule'!$H27=""),"",IF(AND(R$4&gt;='Project Schedule'!$G27,R$4&lt;='Project Schedule'!$H27),IF('Project Schedule'!$D27="Milestone","◆",IF('Project Schedule'!$D27="Phase Header","","■")),""))</x:f>
      </x:c>
      <x:c r="S29" s="28" t="str">
        <x:f>IF(OR('Project Schedule'!$G27="",'Project Schedule'!$H27=""),"",IF(AND(S$4&gt;='Project Schedule'!$G27,S$4&lt;='Project Schedule'!$H27),IF('Project Schedule'!$D27="Milestone","◆",IF('Project Schedule'!$D27="Phase Header","","■")),""))</x:f>
      </x:c>
      <x:c r="T29" s="28" t="str">
        <x:f>IF(OR('Project Schedule'!$G27="",'Project Schedule'!$H27=""),"",IF(AND(T$4&gt;='Project Schedule'!$G27,T$4&lt;='Project Schedule'!$H27),IF('Project Schedule'!$D27="Milestone","◆",IF('Project Schedule'!$D27="Phase Header","","■")),""))</x:f>
      </x:c>
      <x:c r="U29" s="28" t="str">
        <x:f>IF(OR('Project Schedule'!$G27="",'Project Schedule'!$H27=""),"",IF(AND(U$4&gt;='Project Schedule'!$G27,U$4&lt;='Project Schedule'!$H27),IF('Project Schedule'!$D27="Milestone","◆",IF('Project Schedule'!$D27="Phase Header","","■")),""))</x:f>
      </x:c>
      <x:c r="V29" s="28" t="str">
        <x:f>IF(OR('Project Schedule'!$G27="",'Project Schedule'!$H27=""),"",IF(AND(V$4&gt;='Project Schedule'!$G27,V$4&lt;='Project Schedule'!$H27),IF('Project Schedule'!$D27="Milestone","◆",IF('Project Schedule'!$D27="Phase Header","","■")),""))</x:f>
      </x:c>
      <x:c r="W29" s="28" t="str">
        <x:f>IF(OR('Project Schedule'!$G27="",'Project Schedule'!$H27=""),"",IF(AND(W$4&gt;='Project Schedule'!$G27,W$4&lt;='Project Schedule'!$H27),IF('Project Schedule'!$D27="Milestone","◆",IF('Project Schedule'!$D27="Phase Header","","■")),""))</x:f>
      </x:c>
      <x:c r="X29" s="28" t="str">
        <x:f>IF(OR('Project Schedule'!$G27="",'Project Schedule'!$H27=""),"",IF(AND(X$4&gt;='Project Schedule'!$G27,X$4&lt;='Project Schedule'!$H27),IF('Project Schedule'!$D27="Milestone","◆",IF('Project Schedule'!$D27="Phase Header","","■")),""))</x:f>
      </x:c>
      <x:c r="Y29" s="28" t="str">
        <x:f>IF(OR('Project Schedule'!$G27="",'Project Schedule'!$H27=""),"",IF(AND(Y$4&gt;='Project Schedule'!$G27,Y$4&lt;='Project Schedule'!$H27),IF('Project Schedule'!$D27="Milestone","◆",IF('Project Schedule'!$D27="Phase Header","","■")),""))</x:f>
      </x:c>
      <x:c r="Z29" s="28" t="str">
        <x:f>IF(OR('Project Schedule'!$G27="",'Project Schedule'!$H27=""),"",IF(AND(Z$4&gt;='Project Schedule'!$G27,Z$4&lt;='Project Schedule'!$H27),IF('Project Schedule'!$D27="Milestone","◆",IF('Project Schedule'!$D27="Phase Header","","■")),""))</x:f>
      </x:c>
      <x:c r="AA29" s="28" t="str">
        <x:f>IF(OR('Project Schedule'!$G27="",'Project Schedule'!$H27=""),"",IF(AND(AA$4&gt;='Project Schedule'!$G27,AA$4&lt;='Project Schedule'!$H27),IF('Project Schedule'!$D27="Milestone","◆",IF('Project Schedule'!$D27="Phase Header","","■")),""))</x:f>
      </x:c>
      <x:c r="AB29" s="28" t="str">
        <x:f>IF(OR('Project Schedule'!$G27="",'Project Schedule'!$H27=""),"",IF(AND(AB$4&gt;='Project Schedule'!$G27,AB$4&lt;='Project Schedule'!$H27),IF('Project Schedule'!$D27="Milestone","◆",IF('Project Schedule'!$D27="Phase Header","","■")),""))</x:f>
      </x:c>
      <x:c r="AC29" s="28" t="str">
        <x:f>IF(OR('Project Schedule'!$G27="",'Project Schedule'!$H27=""),"",IF(AND(AC$4&gt;='Project Schedule'!$G27,AC$4&lt;='Project Schedule'!$H27),IF('Project Schedule'!$D27="Milestone","◆",IF('Project Schedule'!$D27="Phase Header","","■")),""))</x:f>
      </x:c>
      <x:c r="AD29" s="28" t="str">
        <x:f>IF(OR('Project Schedule'!$G27="",'Project Schedule'!$H27=""),"",IF(AND(AD$4&gt;='Project Schedule'!$G27,AD$4&lt;='Project Schedule'!$H27),IF('Project Schedule'!$D27="Milestone","◆",IF('Project Schedule'!$D27="Phase Header","","■")),""))</x:f>
      </x:c>
      <x:c r="AE29" s="28" t="str">
        <x:f>IF(OR('Project Schedule'!$G27="",'Project Schedule'!$H27=""),"",IF(AND(AE$4&gt;='Project Schedule'!$G27,AE$4&lt;='Project Schedule'!$H27),IF('Project Schedule'!$D27="Milestone","◆",IF('Project Schedule'!$D27="Phase Header","","■")),""))</x:f>
      </x:c>
      <x:c r="AF29" s="28" t="str">
        <x:f>IF(OR('Project Schedule'!$G27="",'Project Schedule'!$H27=""),"",IF(AND(AF$4&gt;='Project Schedule'!$G27,AF$4&lt;='Project Schedule'!$H27),IF('Project Schedule'!$D27="Milestone","◆",IF('Project Schedule'!$D27="Phase Header","","■")),""))</x:f>
      </x:c>
      <x:c r="AG29" s="28" t="str">
        <x:f>IF(OR('Project Schedule'!$G27="",'Project Schedule'!$H27=""),"",IF(AND(AG$4&gt;='Project Schedule'!$G27,AG$4&lt;='Project Schedule'!$H27),IF('Project Schedule'!$D27="Milestone","◆",IF('Project Schedule'!$D27="Phase Header","","■")),""))</x:f>
      </x:c>
      <x:c r="AH29" s="28" t="str">
        <x:f>IF(OR('Project Schedule'!$G27="",'Project Schedule'!$H27=""),"",IF(AND(AH$4&gt;='Project Schedule'!$G27,AH$4&lt;='Project Schedule'!$H27),IF('Project Schedule'!$D27="Milestone","◆",IF('Project Schedule'!$D27="Phase Header","","■")),""))</x:f>
      </x:c>
      <x:c r="AI29" s="28" t="str">
        <x:f>IF(OR('Project Schedule'!$G27="",'Project Schedule'!$H27=""),"",IF(AND(AI$4&gt;='Project Schedule'!$G27,AI$4&lt;='Project Schedule'!$H27),IF('Project Schedule'!$D27="Milestone","◆",IF('Project Schedule'!$D27="Phase Header","","■")),""))</x:f>
      </x:c>
      <x:c r="AJ29" s="28" t="str">
        <x:f>IF(OR('Project Schedule'!$G27="",'Project Schedule'!$H27=""),"",IF(AND(AJ$4&gt;='Project Schedule'!$G27,AJ$4&lt;='Project Schedule'!$H27),IF('Project Schedule'!$D27="Milestone","◆",IF('Project Schedule'!$D27="Phase Header","","■")),""))</x:f>
      </x:c>
      <x:c r="AK29" s="28" t="str">
        <x:f>IF(OR('Project Schedule'!$G27="",'Project Schedule'!$H27=""),"",IF(AND(AK$4&gt;='Project Schedule'!$G27,AK$4&lt;='Project Schedule'!$H27),IF('Project Schedule'!$D27="Milestone","◆",IF('Project Schedule'!$D27="Phase Header","","■")),""))</x:f>
      </x:c>
      <x:c r="AL29" s="28" t="str">
        <x:f>IF(OR('Project Schedule'!$G27="",'Project Schedule'!$H27=""),"",IF(AND(AL$4&gt;='Project Schedule'!$G27,AL$4&lt;='Project Schedule'!$H27),IF('Project Schedule'!$D27="Milestone","◆",IF('Project Schedule'!$D27="Phase Header","","■")),""))</x:f>
      </x:c>
      <x:c r="AM29" s="28" t="str">
        <x:f>IF(OR('Project Schedule'!$G27="",'Project Schedule'!$H27=""),"",IF(AND(AM$4&gt;='Project Schedule'!$G27,AM$4&lt;='Project Schedule'!$H27),IF('Project Schedule'!$D27="Milestone","◆",IF('Project Schedule'!$D27="Phase Header","","■")),""))</x:f>
      </x:c>
      <x:c r="AN29" s="28" t="str">
        <x:f>IF(OR('Project Schedule'!$G27="",'Project Schedule'!$H27=""),"",IF(AND(AN$4&gt;='Project Schedule'!$G27,AN$4&lt;='Project Schedule'!$H27),IF('Project Schedule'!$D27="Milestone","◆",IF('Project Schedule'!$D27="Phase Header","","■")),""))</x:f>
      </x:c>
      <x:c r="AO29" s="28" t="str">
        <x:f>IF(OR('Project Schedule'!$G27="",'Project Schedule'!$H27=""),"",IF(AND(AO$4&gt;='Project Schedule'!$G27,AO$4&lt;='Project Schedule'!$H27),IF('Project Schedule'!$D27="Milestone","◆",IF('Project Schedule'!$D27="Phase Header","","■")),""))</x:f>
      </x:c>
      <x:c r="AP29" s="28" t="str">
        <x:f>IF(OR('Project Schedule'!$G27="",'Project Schedule'!$H27=""),"",IF(AND(AP$4&gt;='Project Schedule'!$G27,AP$4&lt;='Project Schedule'!$H27),IF('Project Schedule'!$D27="Milestone","◆",IF('Project Schedule'!$D27="Phase Header","","■")),""))</x:f>
      </x:c>
      <x:c r="AQ29" s="28" t="str">
        <x:f>IF(OR('Project Schedule'!$G27="",'Project Schedule'!$H27=""),"",IF(AND(AQ$4&gt;='Project Schedule'!$G27,AQ$4&lt;='Project Schedule'!$H27),IF('Project Schedule'!$D27="Milestone","◆",IF('Project Schedule'!$D27="Phase Header","","■")),""))</x:f>
      </x:c>
      <x:c r="AR29" s="28" t="str">
        <x:f>IF(OR('Project Schedule'!$G27="",'Project Schedule'!$H27=""),"",IF(AND(AR$4&gt;='Project Schedule'!$G27,AR$4&lt;='Project Schedule'!$H27),IF('Project Schedule'!$D27="Milestone","◆",IF('Project Schedule'!$D27="Phase Header","","■")),""))</x:f>
      </x:c>
    </x:row>
    <x:row r="30" ht="32" customHeight="1">
      <x:c r="A30" s="94"/>
      <x:c r="B30" s="93"/>
      <x:c r="C30" s="94"/>
      <x:c r="D30" s="94"/>
    </x:row>
    <x:row r="31" ht="32" customHeight="1">
      <x:c r="A31" s="94"/>
      <x:c r="B31" s="93"/>
      <x:c r="C31" s="94"/>
      <x:c r="D31" s="94"/>
    </x:row>
    <x:row r="32" ht="32" customHeight="1">
      <x:c r="A32" s="94"/>
      <x:c r="B32" s="93"/>
      <x:c r="C32" s="94"/>
      <x:c r="D32" s="94"/>
    </x:row>
    <x:row r="33" ht="32" customHeight="1">
      <x:c r="A33" s="94"/>
      <x:c r="B33" s="93"/>
      <x:c r="C33" s="94"/>
      <x:c r="D33" s="94"/>
    </x:row>
    <x:row r="34" ht="32" customHeight="1">
      <x:c r="A34" s="94"/>
      <x:c r="B34" s="93"/>
      <x:c r="C34" s="94"/>
      <x:c r="D34" s="94"/>
    </x:row>
  </x:sheetData>
  <x:mergeCells>
    <x:mergeCell ref="A1:AR1"/>
  </x:mergeCells>
  <x:conditionalFormatting sqref="E5:AR29">
    <x:cfRule type="expression" dxfId="0" priority="1">
      <x:formula>E5="◆"</x:formula>
    </x:cfRule>
  </x:conditionalFormatting>
  <x:pageMargins left="0.7" right="0.7" top="0.75" bottom="0.75" header="0.3" footer="0.3"/>
</x:worksheet>
</file>